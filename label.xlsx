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Task\least_squares\"/>
    </mc:Choice>
  </mc:AlternateContent>
  <bookViews>
    <workbookView windowWidth="22188" windowHeight="9060" activeTab="2"/>
  </bookViews>
  <sheets>
    <sheet name="L0" sheetId="1" r:id="rId1"/>
    <sheet name="L1" sheetId="2" r:id="rId2"/>
    <sheet name="L2" sheetId="3" r:id="rId3"/>
    <sheet name="圆" sheetId="7" r:id="rId4"/>
    <sheet name="L3" sheetId="4" r:id="rId5"/>
    <sheet name="L4" sheetId="5" r:id="rId6"/>
    <sheet name="Sheet2" sheetId="6" r:id="rId7"/>
    <sheet name="球心降噪" sheetId="8" r:id="rId8"/>
    <sheet name="旋转轴与投影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ZHAOHAIWU</author>
  </authors>
  <commentList>
    <comment ref="H1" authorId="0">
      <text>
        <r>
          <rPr>
            <b/>
            <sz val="9"/>
            <rFont val="宋体"/>
            <charset val="134"/>
          </rPr>
          <t>ZHAOHAIWU:</t>
        </r>
        <r>
          <rPr>
            <sz val="9"/>
            <rFont val="宋体"/>
            <charset val="134"/>
          </rPr>
          <t xml:space="preserve">
加负号是为了显示。方向同时变成了左手定则</t>
        </r>
      </text>
    </comment>
  </commentList>
</comments>
</file>

<file path=xl/comments2.xml><?xml version="1.0" encoding="utf-8"?>
<comments xmlns="http://schemas.openxmlformats.org/spreadsheetml/2006/main">
  <authors>
    <author>ZHAOHAIWU</author>
  </authors>
  <commentList>
    <comment ref="H1" authorId="0">
      <text>
        <r>
          <rPr>
            <b/>
            <sz val="9"/>
            <rFont val="宋体"/>
            <charset val="134"/>
          </rPr>
          <t>ZHAOHAIWU:</t>
        </r>
        <r>
          <rPr>
            <sz val="9"/>
            <rFont val="宋体"/>
            <charset val="134"/>
          </rPr>
          <t xml:space="preserve">
加负号是为了显示。方向同时变成了左手定则</t>
        </r>
      </text>
    </comment>
  </commentList>
</comments>
</file>

<file path=xl/comments3.xml><?xml version="1.0" encoding="utf-8"?>
<comments xmlns="http://schemas.openxmlformats.org/spreadsheetml/2006/main">
  <authors>
    <author>ZHAOHAIWU</author>
  </authors>
  <commentList>
    <comment ref="H1" authorId="0">
      <text>
        <r>
          <rPr>
            <b/>
            <sz val="9"/>
            <rFont val="宋体"/>
            <charset val="134"/>
          </rPr>
          <t>ZHAOHAIWU:</t>
        </r>
        <r>
          <rPr>
            <sz val="9"/>
            <rFont val="宋体"/>
            <charset val="134"/>
          </rPr>
          <t xml:space="preserve">
加负号是为了显示。方向同时变成了左手定则</t>
        </r>
      </text>
    </comment>
  </commentList>
</comments>
</file>

<file path=xl/sharedStrings.xml><?xml version="1.0" encoding="utf-8"?>
<sst xmlns="http://schemas.openxmlformats.org/spreadsheetml/2006/main" count="97" uniqueCount="58">
  <si>
    <t>序号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</si>
  <si>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</si>
  <si>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</si>
  <si>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</si>
  <si>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</si>
  <si>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</si>
  <si>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</si>
  <si>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</si>
  <si>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</si>
  <si>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</si>
  <si>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0</t>
    </r>
  </si>
  <si>
    <t>R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</si>
  <si>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</si>
  <si>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</si>
  <si>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</si>
  <si>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6</t>
    </r>
  </si>
  <si>
    <t>Z6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</si>
  <si>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</si>
  <si>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9</t>
    </r>
  </si>
  <si>
    <t>X6(降噪)</t>
  </si>
  <si>
    <t>Y6(降噪)</t>
  </si>
  <si>
    <t>Z6(降噪)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</si>
  <si>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=47.44</t>
    </r>
  </si>
  <si>
    <t>X0</t>
  </si>
  <si>
    <t>Y0</t>
  </si>
  <si>
    <t>X1</t>
  </si>
  <si>
    <t>Y1</t>
  </si>
  <si>
    <t>Z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</si>
  <si>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</si>
  <si>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</si>
  <si>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Z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</si>
  <si>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S|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</si>
  <si>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</si>
  <si>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</si>
  <si>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Z</t>
    </r>
    <r>
      <rPr>
        <sz val="11"/>
        <color theme="1"/>
        <rFont val="宋体"/>
        <charset val="134"/>
        <scheme val="minor"/>
      </rPr>
      <t>8</t>
    </r>
  </si>
  <si>
    <t>归一化序号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</si>
  <si>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</si>
  <si>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</si>
  <si>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Z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</si>
  <si>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x+by+cz=0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</si>
  <si>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*x+y*y+z*z=r*r</t>
    </r>
  </si>
  <si>
    <t>x0</t>
  </si>
  <si>
    <t>y0</t>
  </si>
  <si>
    <t>联合优化相较于原始点距离</t>
  </si>
  <si>
    <t>x1</t>
  </si>
  <si>
    <t>y1</t>
  </si>
  <si>
    <t>分布优化相较于原始点距离</t>
  </si>
  <si>
    <t>平面方程</t>
  </si>
  <si>
    <t>A</t>
  </si>
  <si>
    <t>B</t>
  </si>
  <si>
    <t>C</t>
  </si>
  <si>
    <t>D</t>
  </si>
  <si>
    <t>X6(未降噪)</t>
  </si>
  <si>
    <t>Y6(未降噪)</t>
  </si>
  <si>
    <t>X6(对比)</t>
  </si>
  <si>
    <t>Y6(对比)</t>
  </si>
  <si>
    <t>球心降噪</t>
  </si>
  <si>
    <t>球心未降噪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</si>
</sst>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'L1'!$B$2:$B$19</c:f>
              <c:numCache>
                <c:formatCode>0.00_ </c:formatCode>
                <c:ptCount val="18"/>
                <c:pt idx="0">
                  <c:v>884.5</c:v>
                </c:pt>
                <c:pt idx="1">
                  <c:v>881</c:v>
                </c:pt>
                <c:pt idx="2">
                  <c:v>877.5</c:v>
                </c:pt>
                <c:pt idx="3">
                  <c:v>873</c:v>
                </c:pt>
                <c:pt idx="4">
                  <c:v>869.5</c:v>
                </c:pt>
                <c:pt idx="5">
                  <c:v>865.5</c:v>
                </c:pt>
                <c:pt idx="6">
                  <c:v>862.5</c:v>
                </c:pt>
                <c:pt idx="7">
                  <c:v>858.5</c:v>
                </c:pt>
                <c:pt idx="8">
                  <c:v>854.5</c:v>
                </c:pt>
                <c:pt idx="9">
                  <c:v>851</c:v>
                </c:pt>
                <c:pt idx="10">
                  <c:v>847</c:v>
                </c:pt>
                <c:pt idx="11">
                  <c:v>843</c:v>
                </c:pt>
                <c:pt idx="12">
                  <c:v>840</c:v>
                </c:pt>
                <c:pt idx="13">
                  <c:v>836</c:v>
                </c:pt>
                <c:pt idx="14">
                  <c:v>832</c:v>
                </c:pt>
                <c:pt idx="15">
                  <c:v>828.5</c:v>
                </c:pt>
                <c:pt idx="16">
                  <c:v>825</c:v>
                </c:pt>
                <c:pt idx="17">
                  <c:v>821</c:v>
                </c:pt>
              </c:numCache>
            </c:numRef>
          </c:xVal>
          <c:yVal>
            <c:numRef>
              <c:f>'L1'!$C$2:$C$19</c:f>
              <c:numCache>
                <c:formatCode>0.00_ </c:formatCode>
                <c:ptCount val="18"/>
                <c:pt idx="0">
                  <c:v>518</c:v>
                </c:pt>
                <c:pt idx="1">
                  <c:v>520</c:v>
                </c:pt>
                <c:pt idx="2">
                  <c:v>522</c:v>
                </c:pt>
                <c:pt idx="3">
                  <c:v>524.5</c:v>
                </c:pt>
                <c:pt idx="4">
                  <c:v>526.5</c:v>
                </c:pt>
                <c:pt idx="5">
                  <c:v>529</c:v>
                </c:pt>
                <c:pt idx="6">
                  <c:v>531.5</c:v>
                </c:pt>
                <c:pt idx="7">
                  <c:v>533.5</c:v>
                </c:pt>
                <c:pt idx="8">
                  <c:v>536.5</c:v>
                </c:pt>
                <c:pt idx="9">
                  <c:v>539</c:v>
                </c:pt>
                <c:pt idx="10">
                  <c:v>541</c:v>
                </c:pt>
                <c:pt idx="11">
                  <c:v>543.5</c:v>
                </c:pt>
                <c:pt idx="12">
                  <c:v>546</c:v>
                </c:pt>
                <c:pt idx="13">
                  <c:v>549</c:v>
                </c:pt>
                <c:pt idx="14">
                  <c:v>551.5</c:v>
                </c:pt>
                <c:pt idx="15">
                  <c:v>554</c:v>
                </c:pt>
                <c:pt idx="16">
                  <c:v>556.5</c:v>
                </c:pt>
                <c:pt idx="17">
                  <c:v>559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842016"/>
        <c:axId val="-92837664"/>
      </c:scatterChart>
      <c:valAx>
        <c:axId val="-9284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92837664"/>
        <c:crosses val="autoZero"/>
        <c:crossBetween val="midCat"/>
      </c:valAx>
      <c:valAx>
        <c:axId val="-92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9284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57d16c-0868-49b1-b415-30b70e17ef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标志点位置图</a:t>
            </a:r>
            <a:r>
              <a:rPr lang="en-US" altLang="zh-CN"/>
              <a:t>-XY</a:t>
            </a:r>
            <a:r>
              <a:rPr lang="zh-CN" altLang="en-US"/>
              <a:t>平面投影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76903713027061"/>
          <c:y val="0.113283796115239"/>
          <c:w val="0.944241661422278"/>
          <c:h val="0.74814235432147"/>
        </c:manualLayout>
      </c:layout>
      <c:scatterChart>
        <c:scatterStyle val="smooth"/>
        <c:varyColors val="0"/>
        <c:ser>
          <c:idx val="1"/>
          <c:order val="0"/>
          <c:tx>
            <c:strRef>
              <c:f>"YUAN"</c:f>
              <c:strCache>
                <c:ptCount val="1"/>
                <c:pt idx="0">
                  <c:v>YUAN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'L2'!$E$2:$E$20</c:f>
              <c:numCache>
                <c:formatCode>0.00_ </c:formatCode>
                <c:ptCount val="19"/>
                <c:pt idx="0">
                  <c:v>47.44</c:v>
                </c:pt>
                <c:pt idx="1">
                  <c:v>44.5818885096479</c:v>
                </c:pt>
                <c:pt idx="2">
                  <c:v>36.3519385786961</c:v>
                </c:pt>
                <c:pt idx="3">
                  <c:v>23.7418076465493</c:v>
                </c:pt>
                <c:pt idx="4">
                  <c:v>8.27093753917763</c:v>
                </c:pt>
                <c:pt idx="5">
                  <c:v>-8.19652875776856</c:v>
                </c:pt>
                <c:pt idx="6">
                  <c:v>-23.6763646574306</c:v>
                </c:pt>
                <c:pt idx="7">
                  <c:v>-36.3033468523216</c:v>
                </c:pt>
                <c:pt idx="8">
                  <c:v>-44.5560030448154</c:v>
                </c:pt>
                <c:pt idx="9">
                  <c:v>-47.4399398331545</c:v>
                </c:pt>
                <c:pt idx="10">
                  <c:v>-44.6076608905174</c:v>
                </c:pt>
                <c:pt idx="11">
                  <c:v>-36.4004380967454</c:v>
                </c:pt>
                <c:pt idx="12">
                  <c:v>-23.8071904135063</c:v>
                </c:pt>
                <c:pt idx="13">
                  <c:v>-8.3453253409821</c:v>
                </c:pt>
                <c:pt idx="14">
                  <c:v>8.12209918549612</c:v>
                </c:pt>
                <c:pt idx="15">
                  <c:v>23.6108616121494</c:v>
                </c:pt>
                <c:pt idx="16">
                  <c:v>36.254663040877</c:v>
                </c:pt>
                <c:pt idx="17">
                  <c:v>44.5300045616798</c:v>
                </c:pt>
                <c:pt idx="18" c:formatCode="General">
                  <c:v>47.4397593327705</c:v>
                </c:pt>
              </c:numCache>
            </c:numRef>
          </c:xVal>
          <c:yVal>
            <c:numRef>
              <c:f>'L2'!$F$2:$F$20</c:f>
              <c:numCache>
                <c:formatCode>0.00_ </c:formatCode>
                <c:ptCount val="19"/>
                <c:pt idx="0">
                  <c:v>0</c:v>
                </c:pt>
                <c:pt idx="1">
                  <c:v>16.2175465750319</c:v>
                </c:pt>
                <c:pt idx="2">
                  <c:v>30.4809803249618</c:v>
                </c:pt>
                <c:pt idx="3">
                  <c:v>41.0716467855168</c:v>
                </c:pt>
                <c:pt idx="4">
                  <c:v>46.7134369557949</c:v>
                </c:pt>
                <c:pt idx="5">
                  <c:v>46.7265504432231</c:v>
                </c:pt>
                <c:pt idx="6">
                  <c:v>41.1094071546692</c:v>
                </c:pt>
                <c:pt idx="7">
                  <c:v>30.5388376877712</c:v>
                </c:pt>
                <c:pt idx="8">
                  <c:v>16.2885294815216</c:v>
                </c:pt>
                <c:pt idx="9">
                  <c:v>0.0755554543581351</c:v>
                </c:pt>
                <c:pt idx="10">
                  <c:v>-16.1465225320068</c:v>
                </c:pt>
                <c:pt idx="11">
                  <c:v>-30.4230456457766</c:v>
                </c:pt>
                <c:pt idx="12">
                  <c:v>-41.0337822362874</c:v>
                </c:pt>
                <c:pt idx="13">
                  <c:v>-46.7002049776354</c:v>
                </c:pt>
                <c:pt idx="14">
                  <c:v>-46.7395454066571</c:v>
                </c:pt>
                <c:pt idx="15">
                  <c:v>-41.1470632479638</c:v>
                </c:pt>
                <c:pt idx="16">
                  <c:v>-30.5966175874469</c:v>
                </c:pt>
                <c:pt idx="17">
                  <c:v>-16.3594710714245</c:v>
                </c:pt>
                <c:pt idx="18" c:formatCode="General">
                  <c:v>-0.151110717066466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"降噪前"</c:f>
              <c:strCache>
                <c:ptCount val="1"/>
                <c:pt idx="0">
                  <c:v>降噪前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'L2'!$B$2:$B$19</c:f>
              <c:numCache>
                <c:formatCode>0.00_ </c:formatCode>
                <c:ptCount val="18"/>
                <c:pt idx="0">
                  <c:v>9.5</c:v>
                </c:pt>
                <c:pt idx="1">
                  <c:v>13.5</c:v>
                </c:pt>
                <c:pt idx="2">
                  <c:v>16</c:v>
                </c:pt>
                <c:pt idx="3">
                  <c:v>20</c:v>
                </c:pt>
                <c:pt idx="4">
                  <c:v>23</c:v>
                </c:pt>
                <c:pt idx="5">
                  <c:v>26.5</c:v>
                </c:pt>
                <c:pt idx="6">
                  <c:v>28.5</c:v>
                </c:pt>
                <c:pt idx="7">
                  <c:v>31.5</c:v>
                </c:pt>
                <c:pt idx="8">
                  <c:v>34</c:v>
                </c:pt>
                <c:pt idx="9">
                  <c:v>35.5</c:v>
                </c:pt>
                <c:pt idx="10">
                  <c:v>37.5</c:v>
                </c:pt>
                <c:pt idx="11">
                  <c:v>39</c:v>
                </c:pt>
                <c:pt idx="12">
                  <c:v>39.5</c:v>
                </c:pt>
                <c:pt idx="13">
                  <c:v>40.5</c:v>
                </c:pt>
                <c:pt idx="14">
                  <c:v>41</c:v>
                </c:pt>
                <c:pt idx="15">
                  <c:v>41.5</c:v>
                </c:pt>
                <c:pt idx="16">
                  <c:v>41</c:v>
                </c:pt>
                <c:pt idx="17">
                  <c:v>40.5</c:v>
                </c:pt>
              </c:numCache>
            </c:numRef>
          </c:xVal>
          <c:yVal>
            <c:numRef>
              <c:f>'L2'!$C$2:$C$19</c:f>
              <c:numCache>
                <c:formatCode>0.00_ </c:formatCode>
                <c:ptCount val="18"/>
                <c:pt idx="0">
                  <c:v>-36</c:v>
                </c:pt>
                <c:pt idx="1">
                  <c:v>-36</c:v>
                </c:pt>
                <c:pt idx="2">
                  <c:v>-35.5</c:v>
                </c:pt>
                <c:pt idx="3">
                  <c:v>-34</c:v>
                </c:pt>
                <c:pt idx="4">
                  <c:v>-32.5</c:v>
                </c:pt>
                <c:pt idx="5">
                  <c:v>-30</c:v>
                </c:pt>
                <c:pt idx="6">
                  <c:v>-28</c:v>
                </c:pt>
                <c:pt idx="7">
                  <c:v>-26</c:v>
                </c:pt>
                <c:pt idx="8">
                  <c:v>-22.5</c:v>
                </c:pt>
                <c:pt idx="9">
                  <c:v>-19</c:v>
                </c:pt>
                <c:pt idx="10">
                  <c:v>-16</c:v>
                </c:pt>
                <c:pt idx="11">
                  <c:v>-12.5</c:v>
                </c:pt>
                <c:pt idx="12">
                  <c:v>-9.5</c:v>
                </c:pt>
                <c:pt idx="13">
                  <c:v>-5.5</c:v>
                </c:pt>
                <c:pt idx="14">
                  <c:v>-1.5</c:v>
                </c:pt>
                <c:pt idx="15">
                  <c:v>2</c:v>
                </c:pt>
                <c:pt idx="16">
                  <c:v>5.5</c:v>
                </c:pt>
                <c:pt idx="17">
                  <c:v>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"降噪后"</c:f>
              <c:strCache>
                <c:ptCount val="1"/>
                <c:pt idx="0">
                  <c:v>降噪后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'L2'!$H$2:$H$19</c:f>
              <c:numCache>
                <c:formatCode>0.00_ </c:formatCode>
                <c:ptCount val="18"/>
                <c:pt idx="0">
                  <c:v>9.44152046783597</c:v>
                </c:pt>
                <c:pt idx="1">
                  <c:v>13.680426556588</c:v>
                </c:pt>
                <c:pt idx="2">
                  <c:v>16.419332645339</c:v>
                </c:pt>
                <c:pt idx="3">
                  <c:v>19.65823873409</c:v>
                </c:pt>
                <c:pt idx="4">
                  <c:v>22.897144822841</c:v>
                </c:pt>
                <c:pt idx="5">
                  <c:v>26.136050911593</c:v>
                </c:pt>
                <c:pt idx="6">
                  <c:v>28.874957000344</c:v>
                </c:pt>
                <c:pt idx="7">
                  <c:v>31.613863089095</c:v>
                </c:pt>
                <c:pt idx="8">
                  <c:v>33.852769177847</c:v>
                </c:pt>
                <c:pt idx="9">
                  <c:v>35.591675266598</c:v>
                </c:pt>
                <c:pt idx="10">
                  <c:v>37.330581355349</c:v>
                </c:pt>
                <c:pt idx="11">
                  <c:v>38.569487444101</c:v>
                </c:pt>
                <c:pt idx="12">
                  <c:v>39.8083935328521</c:v>
                </c:pt>
                <c:pt idx="13">
                  <c:v>40.547299621603</c:v>
                </c:pt>
                <c:pt idx="14">
                  <c:v>40.786205710354</c:v>
                </c:pt>
                <c:pt idx="15">
                  <c:v>41.525111799106</c:v>
                </c:pt>
                <c:pt idx="16">
                  <c:v>41.264017887857</c:v>
                </c:pt>
                <c:pt idx="17">
                  <c:v>40.502923976608</c:v>
                </c:pt>
              </c:numCache>
            </c:numRef>
          </c:xVal>
          <c:yVal>
            <c:numRef>
              <c:f>'L2'!$I$2:$I$19</c:f>
              <c:numCache>
                <c:formatCode>0.00_ </c:formatCode>
                <c:ptCount val="18"/>
                <c:pt idx="0">
                  <c:v>-36.90350877193</c:v>
                </c:pt>
                <c:pt idx="1">
                  <c:v>-36.463880288958</c:v>
                </c:pt>
                <c:pt idx="2">
                  <c:v>-35.524251805986</c:v>
                </c:pt>
                <c:pt idx="3">
                  <c:v>-34.0846233230139</c:v>
                </c:pt>
                <c:pt idx="4">
                  <c:v>-32.144994840041</c:v>
                </c:pt>
                <c:pt idx="5">
                  <c:v>-29.705366357069</c:v>
                </c:pt>
                <c:pt idx="6">
                  <c:v>-27.765737874097</c:v>
                </c:pt>
                <c:pt idx="7">
                  <c:v>-25.326109391125</c:v>
                </c:pt>
                <c:pt idx="8">
                  <c:v>-22.386480908153</c:v>
                </c:pt>
                <c:pt idx="9">
                  <c:v>-18.946852425181</c:v>
                </c:pt>
                <c:pt idx="10">
                  <c:v>-15.507223942209</c:v>
                </c:pt>
                <c:pt idx="11">
                  <c:v>-12.067595459236</c:v>
                </c:pt>
                <c:pt idx="12">
                  <c:v>-9.12796697626402</c:v>
                </c:pt>
                <c:pt idx="13">
                  <c:v>-5.68833849329201</c:v>
                </c:pt>
                <c:pt idx="14">
                  <c:v>-1.74871001032</c:v>
                </c:pt>
                <c:pt idx="15">
                  <c:v>1.69091847265202</c:v>
                </c:pt>
                <c:pt idx="16">
                  <c:v>5.13054695562403</c:v>
                </c:pt>
                <c:pt idx="17">
                  <c:v>8.57017543859604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832768"/>
        <c:axId val="-92843104"/>
      </c:scatterChart>
      <c:valAx>
        <c:axId val="-9283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92843104"/>
        <c:crosses val="autoZero"/>
        <c:crossBetween val="midCat"/>
      </c:valAx>
      <c:valAx>
        <c:axId val="-928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9283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4021397105098"/>
          <c:y val="0.90196845261374"/>
          <c:w val="0.406041535556954"/>
          <c:h val="0.07782557684786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4241fc-8f45-4b1e-aaae-5c52da3a8e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圆及其投影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圆!$B$2:$B$20</c:f>
              <c:numCache>
                <c:formatCode>0.00_ </c:formatCode>
                <c:ptCount val="19"/>
                <c:pt idx="0">
                  <c:v>47.44</c:v>
                </c:pt>
                <c:pt idx="1">
                  <c:v>44.579004685768</c:v>
                </c:pt>
                <c:pt idx="2">
                  <c:v>36.3410985992296</c:v>
                </c:pt>
                <c:pt idx="3">
                  <c:v>23.7198993926896</c:v>
                </c:pt>
                <c:pt idx="4">
                  <c:v>8.23771700670016</c:v>
                </c:pt>
                <c:pt idx="5">
                  <c:v>-8.23806022566945</c:v>
                </c:pt>
                <c:pt idx="6">
                  <c:v>-23.7202012141941</c:v>
                </c:pt>
                <c:pt idx="7">
                  <c:v>-36.3413226189731</c:v>
                </c:pt>
                <c:pt idx="8">
                  <c:v>-44.5791238835381</c:v>
                </c:pt>
                <c:pt idx="9">
                  <c:v>-47.4399999987198</c:v>
                </c:pt>
                <c:pt idx="10">
                  <c:v>-44.578885485592</c:v>
                </c:pt>
                <c:pt idx="11">
                  <c:v>-36.3408745775248</c:v>
                </c:pt>
                <c:pt idx="12">
                  <c:v>-23.7195975699048</c:v>
                </c:pt>
                <c:pt idx="13">
                  <c:v>-8.23737378728626</c:v>
                </c:pt>
                <c:pt idx="14">
                  <c:v>8.23840344419414</c:v>
                </c:pt>
                <c:pt idx="15">
                  <c:v>23.7205030344186</c:v>
                </c:pt>
                <c:pt idx="16">
                  <c:v>36.3415466367552</c:v>
                </c:pt>
                <c:pt idx="17">
                  <c:v>44.5792430789022</c:v>
                </c:pt>
                <c:pt idx="18">
                  <c:v>47.4399999948794</c:v>
                </c:pt>
              </c:numCache>
            </c:numRef>
          </c:xVal>
          <c:yVal>
            <c:numRef>
              <c:f>圆!$C$2:$C$20</c:f>
              <c:numCache>
                <c:formatCode>0.00_ </c:formatCode>
                <c:ptCount val="19"/>
                <c:pt idx="0">
                  <c:v>0</c:v>
                </c:pt>
                <c:pt idx="1">
                  <c:v>16.2254719877812</c:v>
                </c:pt>
                <c:pt idx="2">
                  <c:v>30.4939035317073</c:v>
                </c:pt>
                <c:pt idx="3">
                  <c:v>41.0843032410273</c:v>
                </c:pt>
                <c:pt idx="4">
                  <c:v>46.7193066998808</c:v>
                </c:pt>
                <c:pt idx="5">
                  <c:v>46.7192461809717</c:v>
                </c:pt>
                <c:pt idx="6">
                  <c:v>41.0841289838076</c:v>
                </c:pt>
                <c:pt idx="7">
                  <c:v>30.4936365542668</c:v>
                </c:pt>
                <c:pt idx="8">
                  <c:v>16.2251444916884</c:v>
                </c:pt>
                <c:pt idx="9">
                  <c:v>-0.000348513700203172</c:v>
                </c:pt>
                <c:pt idx="10">
                  <c:v>-16.2257994829984</c:v>
                </c:pt>
                <c:pt idx="11">
                  <c:v>-30.4941705075021</c:v>
                </c:pt>
                <c:pt idx="12">
                  <c:v>-41.0844774960296</c:v>
                </c:pt>
                <c:pt idx="13">
                  <c:v>-46.7193672162683</c:v>
                </c:pt>
                <c:pt idx="14">
                  <c:v>-46.7191856595413</c:v>
                </c:pt>
                <c:pt idx="15">
                  <c:v>-41.0839547243707</c:v>
                </c:pt>
                <c:pt idx="16">
                  <c:v>-30.4933695751805</c:v>
                </c:pt>
                <c:pt idx="17">
                  <c:v>-16.2248169947199</c:v>
                </c:pt>
                <c:pt idx="18">
                  <c:v>0.000697027400387534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"圆1"</c:f>
              <c:strCache>
                <c:ptCount val="1"/>
                <c:pt idx="0">
                  <c:v>圆1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圆!$D$2:$D$20</c:f>
              <c:numCache>
                <c:formatCode>0.00_ </c:formatCode>
                <c:ptCount val="19"/>
                <c:pt idx="0">
                  <c:v>47.1801175019494</c:v>
                </c:pt>
                <c:pt idx="1">
                  <c:v>45.6022463163357</c:v>
                </c:pt>
                <c:pt idx="2">
                  <c:v>42.6387674884245</c:v>
                </c:pt>
                <c:pt idx="3">
                  <c:v>38.3797252428634</c:v>
                </c:pt>
                <c:pt idx="4">
                  <c:v>32.9545290267963</c:v>
                </c:pt>
                <c:pt idx="5">
                  <c:v>26.5280214509534</c:v>
                </c:pt>
                <c:pt idx="6">
                  <c:v>19.2954696069731</c:v>
                </c:pt>
                <c:pt idx="7">
                  <c:v>11.4766319479547</c:v>
                </c:pt>
                <c:pt idx="8">
                  <c:v>3.30908100791483</c:v>
                </c:pt>
                <c:pt idx="9">
                  <c:v>-4.95901515311578</c:v>
                </c:pt>
                <c:pt idx="10">
                  <c:v>-13.0764334451932</c:v>
                </c:pt>
                <c:pt idx="11">
                  <c:v>-20.7965290705324</c:v>
                </c:pt>
                <c:pt idx="12">
                  <c:v>-27.8847297358406</c:v>
                </c:pt>
                <c:pt idx="13">
                  <c:v>-34.1256630459979</c:v>
                </c:pt>
                <c:pt idx="14">
                  <c:v>-39.3297005158276</c:v>
                </c:pt>
                <c:pt idx="15">
                  <c:v>-43.3387193625401</c:v>
                </c:pt>
                <c:pt idx="16">
                  <c:v>-46.0309070088867</c:v>
                </c:pt>
                <c:pt idx="17">
                  <c:v>-47.3244623139455</c:v>
                </c:pt>
                <c:pt idx="18">
                  <c:v>-47.1800810709899</c:v>
                </c:pt>
              </c:numCache>
            </c:numRef>
          </c:xVal>
          <c:yVal>
            <c:numRef>
              <c:f>圆!$E$2:$E$20</c:f>
              <c:numCache>
                <c:formatCode>0.00_ </c:formatCode>
                <c:ptCount val="19"/>
                <c:pt idx="0">
                  <c:v>4.95884185090085</c:v>
                </c:pt>
                <c:pt idx="1">
                  <c:v>13.0762659388775</c:v>
                </c:pt>
                <c:pt idx="2">
                  <c:v>20.7963724497344</c:v>
                </c:pt>
                <c:pt idx="3">
                  <c:v>27.8845887594261</c:v>
                </c:pt>
                <c:pt idx="4">
                  <c:v>34.1255419974839</c:v>
                </c:pt>
                <c:pt idx="5">
                  <c:v>39.3296030732291</c:v>
                </c:pt>
                <c:pt idx="6">
                  <c:v>43.338648486615</c:v>
                </c:pt>
                <c:pt idx="7">
                  <c:v>46.0308648531742</c:v>
                </c:pt>
                <c:pt idx="8">
                  <c:v>47.3244501593316</c:v>
                </c:pt>
                <c:pt idx="9">
                  <c:v>47.1800992867879</c:v>
                </c:pt>
                <c:pt idx="10">
                  <c:v>45.6021982842213</c:v>
                </c:pt>
                <c:pt idx="11">
                  <c:v>42.6386910987955</c:v>
                </c:pt>
                <c:pt idx="12">
                  <c:v>38.3796228167908</c:v>
                </c:pt>
                <c:pt idx="13">
                  <c:v>32.954403676459</c:v>
                </c:pt>
                <c:pt idx="14">
                  <c:v>26.5278769850757</c:v>
                </c:pt>
                <c:pt idx="15">
                  <c:v>19.2953104150981</c:v>
                </c:pt>
                <c:pt idx="16">
                  <c:v>11.4764628670696</c:v>
                </c:pt>
                <c:pt idx="17">
                  <c:v>3.30890717548068</c:v>
                </c:pt>
                <c:pt idx="18">
                  <c:v>-4.9591884552638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"圆3"</c:f>
              <c:strCache>
                <c:ptCount val="1"/>
                <c:pt idx="0">
                  <c:v>圆3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圆!$I$2:$I$20</c:f>
              <c:numCache>
                <c:formatCode>0.00_ </c:formatCode>
                <c:ptCount val="19"/>
                <c:pt idx="0">
                  <c:v>47.1801175019494</c:v>
                </c:pt>
                <c:pt idx="1">
                  <c:v>45.77446548511</c:v>
                </c:pt>
                <c:pt idx="2">
                  <c:v>42.9779730092661</c:v>
                </c:pt>
                <c:pt idx="3">
                  <c:v>38.8756104795876</c:v>
                </c:pt>
                <c:pt idx="4">
                  <c:v>33.5920266871267</c:v>
                </c:pt>
                <c:pt idx="5">
                  <c:v>27.287761400709</c:v>
                </c:pt>
                <c:pt idx="6">
                  <c:v>20.1543674245393</c:v>
                </c:pt>
                <c:pt idx="7">
                  <c:v>12.4085903360248</c:v>
                </c:pt>
                <c:pt idx="8">
                  <c:v>4.28578275036188</c:v>
                </c:pt>
                <c:pt idx="9">
                  <c:v>-3.9672467829423</c:v>
                </c:pt>
                <c:pt idx="10">
                  <c:v>-12.0997329679388</c:v>
                </c:pt>
                <c:pt idx="11">
                  <c:v>-19.8645731744052</c:v>
                </c:pt>
                <c:pt idx="12">
                  <c:v>-27.0258355612507</c:v>
                </c:pt>
                <c:pt idx="13">
                  <c:v>-33.3659277795616</c:v>
                </c:pt>
                <c:pt idx="14">
                  <c:v>-38.6922084368585</c:v>
                </c:pt>
                <c:pt idx="15">
                  <c:v>-42.8428404356316</c:v>
                </c:pt>
                <c:pt idx="16">
                  <c:v>-45.6917083345937</c:v>
                </c:pt>
                <c:pt idx="17">
                  <c:v>-47.1522503204229</c:v>
                </c:pt>
                <c:pt idx="18">
                  <c:v>-47.1800883569272</c:v>
                </c:pt>
              </c:numCache>
            </c:numRef>
          </c:xVal>
          <c:yVal>
            <c:numRef>
              <c:f>圆!$J$2:$J$20</c:f>
              <c:numCache>
                <c:formatCode>0.00_ </c:formatCode>
                <c:ptCount val="19"/>
                <c:pt idx="0">
                  <c:v>4.95884185090085</c:v>
                </c:pt>
                <c:pt idx="1">
                  <c:v>11.4377138609593</c:v>
                </c:pt>
                <c:pt idx="2">
                  <c:v>17.5690551018925</c:v>
                </c:pt>
                <c:pt idx="3">
                  <c:v>23.1665670036247</c:v>
                </c:pt>
                <c:pt idx="4">
                  <c:v>28.0601712060882</c:v>
                </c:pt>
                <c:pt idx="5">
                  <c:v>32.1011773282373</c:v>
                </c:pt>
                <c:pt idx="6">
                  <c:v>35.1668008711117</c:v>
                </c:pt>
                <c:pt idx="7">
                  <c:v>37.1638939801089</c:v>
                </c:pt>
                <c:pt idx="8">
                  <c:v>38.0317757086149</c:v>
                </c:pt>
                <c:pt idx="9">
                  <c:v>37.7440757864617</c:v>
                </c:pt>
                <c:pt idx="10">
                  <c:v>36.3095358709803</c:v>
                </c:pt>
                <c:pt idx="11">
                  <c:v>33.7717439349273</c:v>
                </c:pt>
                <c:pt idx="12">
                  <c:v>30.2078098618107</c:v>
                </c:pt>
                <c:pt idx="13">
                  <c:v>25.7260224901691</c:v>
                </c:pt>
                <c:pt idx="14">
                  <c:v>20.4625592966607</c:v>
                </c:pt>
                <c:pt idx="15">
                  <c:v>14.5773486930415</c:v>
                </c:pt>
                <c:pt idx="16">
                  <c:v>8.24921065963301</c:v>
                </c:pt>
                <c:pt idx="17">
                  <c:v>1.67042336536092</c:v>
                </c:pt>
                <c:pt idx="18">
                  <c:v>-4.95911913436445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40536704"/>
        <c:axId val="-1840537248"/>
      </c:scatterChart>
      <c:valAx>
        <c:axId val="-184053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840537248"/>
        <c:crosses val="autoZero"/>
        <c:crossBetween val="midCat"/>
      </c:valAx>
      <c:valAx>
        <c:axId val="-184053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84053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2ad5a0-ffc8-47cd-9825-e9bcdf0c76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旋转轴位置图</a:t>
            </a:r>
            <a:r>
              <a:rPr lang="en-US" altLang="zh-CN"/>
              <a:t>-XY</a:t>
            </a:r>
            <a:r>
              <a:rPr lang="zh-CN" altLang="en-US"/>
              <a:t>平面投影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"YUAN"</c:f>
              <c:strCache>
                <c:ptCount val="1"/>
                <c:pt idx="0">
                  <c:v>YUAN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'L3'!$I$2:$I$20</c:f>
              <c:numCache>
                <c:formatCode>General</c:formatCode>
                <c:ptCount val="19"/>
                <c:pt idx="0">
                  <c:v>47.44</c:v>
                </c:pt>
                <c:pt idx="1">
                  <c:v>44.5818885096479</c:v>
                </c:pt>
                <c:pt idx="2">
                  <c:v>36.3519385786961</c:v>
                </c:pt>
                <c:pt idx="3">
                  <c:v>23.7418076465493</c:v>
                </c:pt>
                <c:pt idx="4">
                  <c:v>8.27093753917763</c:v>
                </c:pt>
                <c:pt idx="5">
                  <c:v>-8.19652875776856</c:v>
                </c:pt>
                <c:pt idx="6">
                  <c:v>-23.6763646574306</c:v>
                </c:pt>
                <c:pt idx="7">
                  <c:v>-36.3033468523216</c:v>
                </c:pt>
                <c:pt idx="8">
                  <c:v>-44.5560030448154</c:v>
                </c:pt>
                <c:pt idx="9">
                  <c:v>-47.4399398331545</c:v>
                </c:pt>
                <c:pt idx="10">
                  <c:v>-44.6076608905174</c:v>
                </c:pt>
                <c:pt idx="11">
                  <c:v>-36.4004380967454</c:v>
                </c:pt>
                <c:pt idx="12">
                  <c:v>-23.8071904135063</c:v>
                </c:pt>
                <c:pt idx="13">
                  <c:v>-8.3453253409821</c:v>
                </c:pt>
                <c:pt idx="14">
                  <c:v>8.12209918549612</c:v>
                </c:pt>
                <c:pt idx="15">
                  <c:v>23.6108616121494</c:v>
                </c:pt>
                <c:pt idx="16">
                  <c:v>36.254663040877</c:v>
                </c:pt>
                <c:pt idx="17">
                  <c:v>44.5300045616798</c:v>
                </c:pt>
                <c:pt idx="18">
                  <c:v>47.4397593327705</c:v>
                </c:pt>
              </c:numCache>
            </c:numRef>
          </c:xVal>
          <c:yVal>
            <c:numRef>
              <c:f>'L3'!$J$2:$J$20</c:f>
              <c:numCache>
                <c:formatCode>General</c:formatCode>
                <c:ptCount val="19"/>
                <c:pt idx="0">
                  <c:v>0</c:v>
                </c:pt>
                <c:pt idx="1">
                  <c:v>16.2175465750319</c:v>
                </c:pt>
                <c:pt idx="2">
                  <c:v>30.4809803249618</c:v>
                </c:pt>
                <c:pt idx="3">
                  <c:v>41.0716467855168</c:v>
                </c:pt>
                <c:pt idx="4">
                  <c:v>46.7134369557949</c:v>
                </c:pt>
                <c:pt idx="5">
                  <c:v>46.7265504432231</c:v>
                </c:pt>
                <c:pt idx="6">
                  <c:v>41.1094071546692</c:v>
                </c:pt>
                <c:pt idx="7">
                  <c:v>30.5388376877712</c:v>
                </c:pt>
                <c:pt idx="8">
                  <c:v>16.2885294815216</c:v>
                </c:pt>
                <c:pt idx="9">
                  <c:v>0.0755554543581351</c:v>
                </c:pt>
                <c:pt idx="10">
                  <c:v>-16.1465225320068</c:v>
                </c:pt>
                <c:pt idx="11">
                  <c:v>-30.4230456457766</c:v>
                </c:pt>
                <c:pt idx="12">
                  <c:v>-41.0337822362874</c:v>
                </c:pt>
                <c:pt idx="13">
                  <c:v>-46.7002049776354</c:v>
                </c:pt>
                <c:pt idx="14">
                  <c:v>-46.7395454066571</c:v>
                </c:pt>
                <c:pt idx="15">
                  <c:v>-41.1470632479638</c:v>
                </c:pt>
                <c:pt idx="16">
                  <c:v>-30.5966175874469</c:v>
                </c:pt>
                <c:pt idx="17">
                  <c:v>-16.3594710714245</c:v>
                </c:pt>
                <c:pt idx="18">
                  <c:v>-0.151110717066466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837120"/>
        <c:axId val="-92833856"/>
      </c:scatterChart>
      <c:scatterChart>
        <c:scatterStyle val="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'L3'!$F$2:$F$19</c:f>
              <c:numCache>
                <c:formatCode>0.00_ </c:formatCode>
                <c:ptCount val="18"/>
                <c:pt idx="0">
                  <c:v>13.4464832034389</c:v>
                </c:pt>
                <c:pt idx="1">
                  <c:v>4.17603726134023</c:v>
                </c:pt>
                <c:pt idx="2">
                  <c:v>-3.28909299315501</c:v>
                </c:pt>
                <c:pt idx="3">
                  <c:v>-6.02055173643493</c:v>
                </c:pt>
                <c:pt idx="4">
                  <c:v>-12.4619311856749</c:v>
                </c:pt>
                <c:pt idx="5">
                  <c:v>-19.243007495066</c:v>
                </c:pt>
                <c:pt idx="6">
                  <c:v>-2.73128593375882</c:v>
                </c:pt>
                <c:pt idx="7">
                  <c:v>-20.3982799675117</c:v>
                </c:pt>
                <c:pt idx="8">
                  <c:v>-26.6007545815804</c:v>
                </c:pt>
                <c:pt idx="9">
                  <c:v>-16.0848303573641</c:v>
                </c:pt>
                <c:pt idx="10">
                  <c:v>-20.9334243560367</c:v>
                </c:pt>
                <c:pt idx="11">
                  <c:v>-25.4846969550265</c:v>
                </c:pt>
                <c:pt idx="12">
                  <c:v>-22.7248212612383</c:v>
                </c:pt>
                <c:pt idx="13">
                  <c:v>-23.50534949703</c:v>
                </c:pt>
                <c:pt idx="14">
                  <c:v>-22.4568611771688</c:v>
                </c:pt>
                <c:pt idx="15">
                  <c:v>-22.404724713002</c:v>
                </c:pt>
                <c:pt idx="16">
                  <c:v>-23.2987179379634</c:v>
                </c:pt>
                <c:pt idx="17">
                  <c:v>-24.3808443595236</c:v>
                </c:pt>
              </c:numCache>
            </c:numRef>
          </c:xVal>
          <c:yVal>
            <c:numRef>
              <c:f>'L3'!$G$2:$G$19</c:f>
              <c:numCache>
                <c:formatCode>0.00_ </c:formatCode>
                <c:ptCount val="18"/>
                <c:pt idx="0">
                  <c:v>30.8524239946206</c:v>
                </c:pt>
                <c:pt idx="1">
                  <c:v>29.8476824187646</c:v>
                </c:pt>
                <c:pt idx="2">
                  <c:v>27.7697432184539</c:v>
                </c:pt>
                <c:pt idx="3">
                  <c:v>26.5650810318499</c:v>
                </c:pt>
                <c:pt idx="4">
                  <c:v>22.7187221572219</c:v>
                </c:pt>
                <c:pt idx="5">
                  <c:v>16.8957931254784</c:v>
                </c:pt>
                <c:pt idx="6">
                  <c:v>30.3985258822307</c:v>
                </c:pt>
                <c:pt idx="7">
                  <c:v>13.1257487960975</c:v>
                </c:pt>
                <c:pt idx="8">
                  <c:v>2.08772382606643</c:v>
                </c:pt>
                <c:pt idx="9">
                  <c:v>21.5486341604011</c:v>
                </c:pt>
                <c:pt idx="10">
                  <c:v>12.5875806686854</c:v>
                </c:pt>
                <c:pt idx="11">
                  <c:v>-3.09606088289526</c:v>
                </c:pt>
                <c:pt idx="12">
                  <c:v>9.84568315748187</c:v>
                </c:pt>
                <c:pt idx="13">
                  <c:v>5.65423725797986</c:v>
                </c:pt>
                <c:pt idx="14">
                  <c:v>13.5996340070136</c:v>
                </c:pt>
                <c:pt idx="15">
                  <c:v>-7.03107137586305</c:v>
                </c:pt>
                <c:pt idx="16">
                  <c:v>-0.774834152198856</c:v>
                </c:pt>
                <c:pt idx="17">
                  <c:v>21.687366221404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2837120"/>
        <c:axId val="-92833856"/>
      </c:scatterChart>
      <c:valAx>
        <c:axId val="-9283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92833856"/>
        <c:crosses val="autoZero"/>
        <c:crossBetween val="midCat"/>
      </c:valAx>
      <c:valAx>
        <c:axId val="-928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928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6a4fdc-5746-4e6e-b606-df7c97358c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"YUAN"</c:f>
              <c:strCache>
                <c:ptCount val="1"/>
                <c:pt idx="0">
                  <c:v>YUAN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'L3'!$I$2:$I$19</c:f>
              <c:numCache>
                <c:formatCode>General</c:formatCode>
                <c:ptCount val="18"/>
                <c:pt idx="0">
                  <c:v>47.44</c:v>
                </c:pt>
                <c:pt idx="1">
                  <c:v>44.5818885096479</c:v>
                </c:pt>
                <c:pt idx="2">
                  <c:v>36.3519385786961</c:v>
                </c:pt>
                <c:pt idx="3">
                  <c:v>23.7418076465493</c:v>
                </c:pt>
                <c:pt idx="4">
                  <c:v>8.27093753917763</c:v>
                </c:pt>
                <c:pt idx="5">
                  <c:v>-8.19652875776856</c:v>
                </c:pt>
                <c:pt idx="6">
                  <c:v>-23.6763646574306</c:v>
                </c:pt>
                <c:pt idx="7">
                  <c:v>-36.3033468523216</c:v>
                </c:pt>
                <c:pt idx="8">
                  <c:v>-44.5560030448154</c:v>
                </c:pt>
                <c:pt idx="9">
                  <c:v>-47.4399398331545</c:v>
                </c:pt>
                <c:pt idx="10">
                  <c:v>-44.6076608905174</c:v>
                </c:pt>
                <c:pt idx="11">
                  <c:v>-36.4004380967454</c:v>
                </c:pt>
                <c:pt idx="12">
                  <c:v>-23.8071904135063</c:v>
                </c:pt>
                <c:pt idx="13">
                  <c:v>-8.3453253409821</c:v>
                </c:pt>
                <c:pt idx="14">
                  <c:v>8.12209918549612</c:v>
                </c:pt>
                <c:pt idx="15">
                  <c:v>23.6108616121494</c:v>
                </c:pt>
                <c:pt idx="16">
                  <c:v>36.254663040877</c:v>
                </c:pt>
                <c:pt idx="17">
                  <c:v>44.5300045616798</c:v>
                </c:pt>
              </c:numCache>
            </c:numRef>
          </c:xVal>
          <c:yVal>
            <c:numRef>
              <c:f>'L3'!$J$2:$J$19</c:f>
              <c:numCache>
                <c:formatCode>General</c:formatCode>
                <c:ptCount val="18"/>
                <c:pt idx="0">
                  <c:v>0</c:v>
                </c:pt>
                <c:pt idx="1">
                  <c:v>16.2175465750319</c:v>
                </c:pt>
                <c:pt idx="2">
                  <c:v>30.4809803249618</c:v>
                </c:pt>
                <c:pt idx="3">
                  <c:v>41.0716467855168</c:v>
                </c:pt>
                <c:pt idx="4">
                  <c:v>46.7134369557949</c:v>
                </c:pt>
                <c:pt idx="5">
                  <c:v>46.7265504432231</c:v>
                </c:pt>
                <c:pt idx="6">
                  <c:v>41.1094071546692</c:v>
                </c:pt>
                <c:pt idx="7">
                  <c:v>30.5388376877712</c:v>
                </c:pt>
                <c:pt idx="8">
                  <c:v>16.2885294815216</c:v>
                </c:pt>
                <c:pt idx="9">
                  <c:v>0.0755554543581351</c:v>
                </c:pt>
                <c:pt idx="10">
                  <c:v>-16.1465225320068</c:v>
                </c:pt>
                <c:pt idx="11">
                  <c:v>-30.4230456457766</c:v>
                </c:pt>
                <c:pt idx="12">
                  <c:v>-41.0337822362874</c:v>
                </c:pt>
                <c:pt idx="13">
                  <c:v>-46.7002049776354</c:v>
                </c:pt>
                <c:pt idx="14">
                  <c:v>-46.7395454066571</c:v>
                </c:pt>
                <c:pt idx="15">
                  <c:v>-41.1470632479638</c:v>
                </c:pt>
                <c:pt idx="16">
                  <c:v>-30.5966175874469</c:v>
                </c:pt>
                <c:pt idx="17">
                  <c:v>-16.3594710714245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43050720"/>
        <c:axId val="-1843050176"/>
      </c:scatterChart>
      <c:scatterChart>
        <c:scatterStyle val="marker"/>
        <c:varyColors val="0"/>
        <c:ser>
          <c:idx val="0"/>
          <c:order val="1"/>
          <c:tx>
            <c:strRef>
              <c:f>"旋转轴2"</c:f>
              <c:strCache>
                <c:ptCount val="1"/>
                <c:pt idx="0">
                  <c:v>旋转轴2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'L4'!$F$2:$F$19</c:f>
              <c:numCache>
                <c:formatCode>0.00_ </c:formatCode>
                <c:ptCount val="18"/>
                <c:pt idx="0">
                  <c:v>9.88205007347221</c:v>
                </c:pt>
                <c:pt idx="1">
                  <c:v>-0.560577228002519</c:v>
                </c:pt>
                <c:pt idx="2">
                  <c:v>-4.54255022769952</c:v>
                </c:pt>
                <c:pt idx="3">
                  <c:v>-9.801598865993</c:v>
                </c:pt>
                <c:pt idx="4">
                  <c:v>-15.3904519690503</c:v>
                </c:pt>
                <c:pt idx="5">
                  <c:v>-9.49082913285954</c:v>
                </c:pt>
                <c:pt idx="6">
                  <c:v>-13.17644010584</c:v>
                </c:pt>
                <c:pt idx="7">
                  <c:v>-23.9522130597272</c:v>
                </c:pt>
                <c:pt idx="8">
                  <c:v>-21.4207403888679</c:v>
                </c:pt>
                <c:pt idx="9">
                  <c:v>-18.9816500057634</c:v>
                </c:pt>
                <c:pt idx="10">
                  <c:v>-23.7958202323754</c:v>
                </c:pt>
                <c:pt idx="11">
                  <c:v>-23.7207503617366</c:v>
                </c:pt>
                <c:pt idx="12">
                  <c:v>-23.2913895849433</c:v>
                </c:pt>
                <c:pt idx="13">
                  <c:v>-22.8070406810841</c:v>
                </c:pt>
                <c:pt idx="14">
                  <c:v>-23.6703776364984</c:v>
                </c:pt>
                <c:pt idx="15">
                  <c:v>-22.6971854430951</c:v>
                </c:pt>
                <c:pt idx="16">
                  <c:v>-22.8235405009204</c:v>
                </c:pt>
                <c:pt idx="17">
                  <c:v>-24.6079041135326</c:v>
                </c:pt>
              </c:numCache>
            </c:numRef>
          </c:xVal>
          <c:yVal>
            <c:numRef>
              <c:f>'L4'!$G$2:$G$19</c:f>
              <c:numCache>
                <c:formatCode>0.00_ </c:formatCode>
                <c:ptCount val="18"/>
                <c:pt idx="0">
                  <c:v>30.8852291689442</c:v>
                </c:pt>
                <c:pt idx="1">
                  <c:v>28.8549646247677</c:v>
                </c:pt>
                <c:pt idx="2">
                  <c:v>27.3416735853641</c:v>
                </c:pt>
                <c:pt idx="3">
                  <c:v>24.6972820823227</c:v>
                </c:pt>
                <c:pt idx="4">
                  <c:v>20.7049035957395</c:v>
                </c:pt>
                <c:pt idx="5">
                  <c:v>24.918158200799</c:v>
                </c:pt>
                <c:pt idx="6">
                  <c:v>22.6931536533667</c:v>
                </c:pt>
                <c:pt idx="7">
                  <c:v>8.21412283554039</c:v>
                </c:pt>
                <c:pt idx="8">
                  <c:v>11.534244824775</c:v>
                </c:pt>
                <c:pt idx="9">
                  <c:v>17.2346816108205</c:v>
                </c:pt>
                <c:pt idx="10">
                  <c:v>5.81536309597809</c:v>
                </c:pt>
                <c:pt idx="11">
                  <c:v>4.26260750219672</c:v>
                </c:pt>
                <c:pt idx="12">
                  <c:v>7.80597044826949</c:v>
                </c:pt>
                <c:pt idx="13">
                  <c:v>9.45034275131892</c:v>
                </c:pt>
                <c:pt idx="14">
                  <c:v>3.48334282580464</c:v>
                </c:pt>
                <c:pt idx="15">
                  <c:v>-3.88783862574884</c:v>
                </c:pt>
                <c:pt idx="16">
                  <c:v>22.5266937235153</c:v>
                </c:pt>
                <c:pt idx="17">
                  <c:v>18.596432295771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43050720"/>
        <c:axId val="-1843050176"/>
      </c:scatterChart>
      <c:valAx>
        <c:axId val="-18430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843050176"/>
        <c:crosses val="autoZero"/>
        <c:crossBetween val="midCat"/>
      </c:valAx>
      <c:valAx>
        <c:axId val="-18430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84305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9fef82-b52a-46fd-a11d-5a8cd6ce40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"YUAN"</c:f>
              <c:strCache>
                <c:ptCount val="1"/>
                <c:pt idx="0">
                  <c:v>YUAN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Sheet2!$I$2:$I$19</c:f>
              <c:numCache>
                <c:formatCode>General</c:formatCode>
                <c:ptCount val="18"/>
                <c:pt idx="0">
                  <c:v>47.44</c:v>
                </c:pt>
                <c:pt idx="1" c:formatCode="0.00_ ">
                  <c:v>44.5818885096479</c:v>
                </c:pt>
                <c:pt idx="2" c:formatCode="0.00_ ">
                  <c:v>36.3519385786961</c:v>
                </c:pt>
                <c:pt idx="3" c:formatCode="0.00_ ">
                  <c:v>23.7418076465493</c:v>
                </c:pt>
                <c:pt idx="4" c:formatCode="0.00_ ">
                  <c:v>8.27093753917763</c:v>
                </c:pt>
                <c:pt idx="5" c:formatCode="0.00_ ">
                  <c:v>-8.19652875776856</c:v>
                </c:pt>
                <c:pt idx="6" c:formatCode="0.00_ ">
                  <c:v>-23.6763646574306</c:v>
                </c:pt>
                <c:pt idx="7" c:formatCode="0.00_ ">
                  <c:v>-36.3033468523216</c:v>
                </c:pt>
                <c:pt idx="8" c:formatCode="0.00_ ">
                  <c:v>-44.5560030448154</c:v>
                </c:pt>
                <c:pt idx="9" c:formatCode="0.00_ ">
                  <c:v>-47.4399398331545</c:v>
                </c:pt>
                <c:pt idx="10" c:formatCode="0.00_ ">
                  <c:v>-44.6076608905174</c:v>
                </c:pt>
                <c:pt idx="11" c:formatCode="0.00_ ">
                  <c:v>-36.4004380967454</c:v>
                </c:pt>
                <c:pt idx="12" c:formatCode="0.00_ ">
                  <c:v>-23.8071904135063</c:v>
                </c:pt>
                <c:pt idx="13" c:formatCode="0.00_ ">
                  <c:v>-8.3453253409821</c:v>
                </c:pt>
                <c:pt idx="14" c:formatCode="0.00_ ">
                  <c:v>8.12209918549612</c:v>
                </c:pt>
                <c:pt idx="15" c:formatCode="0.00_ ">
                  <c:v>23.6108616121494</c:v>
                </c:pt>
                <c:pt idx="16" c:formatCode="0.00_ ">
                  <c:v>36.254663040877</c:v>
                </c:pt>
                <c:pt idx="17" c:formatCode="0.00_ ">
                  <c:v>44.5300045616798</c:v>
                </c:pt>
              </c:numCache>
            </c:numRef>
          </c:xVal>
          <c:yVal>
            <c:numRef>
              <c:f>Sheet2!$J$2:$J$19</c:f>
              <c:numCache>
                <c:formatCode>General</c:formatCode>
                <c:ptCount val="18"/>
                <c:pt idx="0">
                  <c:v>0</c:v>
                </c:pt>
                <c:pt idx="1" c:formatCode="0.00_ ">
                  <c:v>16.2175465750319</c:v>
                </c:pt>
                <c:pt idx="2" c:formatCode="0.00_ ">
                  <c:v>30.4809803249618</c:v>
                </c:pt>
                <c:pt idx="3" c:formatCode="0.00_ ">
                  <c:v>41.0716467855168</c:v>
                </c:pt>
                <c:pt idx="4" c:formatCode="0.00_ ">
                  <c:v>46.7134369557949</c:v>
                </c:pt>
                <c:pt idx="5" c:formatCode="0.00_ ">
                  <c:v>46.7265504432231</c:v>
                </c:pt>
                <c:pt idx="6" c:formatCode="0.00_ ">
                  <c:v>41.1094071546692</c:v>
                </c:pt>
                <c:pt idx="7" c:formatCode="0.00_ ">
                  <c:v>30.5388376877712</c:v>
                </c:pt>
                <c:pt idx="8" c:formatCode="0.00_ ">
                  <c:v>16.2885294815216</c:v>
                </c:pt>
                <c:pt idx="9" c:formatCode="0.00_ ">
                  <c:v>0.0755554543581351</c:v>
                </c:pt>
                <c:pt idx="10" c:formatCode="0.00_ ">
                  <c:v>-16.1465225320068</c:v>
                </c:pt>
                <c:pt idx="11" c:formatCode="0.00_ ">
                  <c:v>-30.4230456457766</c:v>
                </c:pt>
                <c:pt idx="12" c:formatCode="0.00_ ">
                  <c:v>-41.0337822362874</c:v>
                </c:pt>
                <c:pt idx="13" c:formatCode="0.00_ ">
                  <c:v>-46.7002049776354</c:v>
                </c:pt>
                <c:pt idx="14" c:formatCode="0.00_ ">
                  <c:v>-46.7395454066571</c:v>
                </c:pt>
                <c:pt idx="15" c:formatCode="0.00_ ">
                  <c:v>-41.1470632479638</c:v>
                </c:pt>
                <c:pt idx="16" c:formatCode="0.00_ ">
                  <c:v>-30.5966175874469</c:v>
                </c:pt>
                <c:pt idx="17" c:formatCode="0.00_ ">
                  <c:v>-16.3594710714245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39414896"/>
        <c:axId val="-1739408368"/>
      </c:scatterChart>
      <c:scatterChart>
        <c:scatterStyle val="marker"/>
        <c:varyColors val="0"/>
        <c:ser>
          <c:idx val="0"/>
          <c:order val="0"/>
          <c:tx>
            <c:strRef>
              <c:f>"旋转轴2"</c:f>
              <c:strCache>
                <c:ptCount val="1"/>
                <c:pt idx="0">
                  <c:v>旋转轴2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'L4'!$F$2:$F$19</c:f>
              <c:numCache>
                <c:formatCode>0.00_ </c:formatCode>
                <c:ptCount val="18"/>
                <c:pt idx="0">
                  <c:v>9.88205007347221</c:v>
                </c:pt>
                <c:pt idx="1">
                  <c:v>-0.560577228002519</c:v>
                </c:pt>
                <c:pt idx="2">
                  <c:v>-4.54255022769952</c:v>
                </c:pt>
                <c:pt idx="3">
                  <c:v>-9.801598865993</c:v>
                </c:pt>
                <c:pt idx="4">
                  <c:v>-15.3904519690503</c:v>
                </c:pt>
                <c:pt idx="5">
                  <c:v>-9.49082913285954</c:v>
                </c:pt>
                <c:pt idx="6">
                  <c:v>-13.17644010584</c:v>
                </c:pt>
                <c:pt idx="7">
                  <c:v>-23.9522130597272</c:v>
                </c:pt>
                <c:pt idx="8">
                  <c:v>-21.4207403888679</c:v>
                </c:pt>
                <c:pt idx="9">
                  <c:v>-18.9816500057634</c:v>
                </c:pt>
                <c:pt idx="10">
                  <c:v>-23.7958202323754</c:v>
                </c:pt>
                <c:pt idx="11">
                  <c:v>-23.7207503617366</c:v>
                </c:pt>
                <c:pt idx="12">
                  <c:v>-23.2913895849433</c:v>
                </c:pt>
                <c:pt idx="13">
                  <c:v>-22.8070406810841</c:v>
                </c:pt>
                <c:pt idx="14">
                  <c:v>-23.6703776364984</c:v>
                </c:pt>
                <c:pt idx="15">
                  <c:v>-22.6971854430951</c:v>
                </c:pt>
                <c:pt idx="16">
                  <c:v>-22.8235405009204</c:v>
                </c:pt>
                <c:pt idx="17">
                  <c:v>-24.6079041135326</c:v>
                </c:pt>
              </c:numCache>
            </c:numRef>
          </c:xVal>
          <c:yVal>
            <c:numRef>
              <c:f>'L4'!$G$2:$G$19</c:f>
              <c:numCache>
                <c:formatCode>0.00_ </c:formatCode>
                <c:ptCount val="18"/>
                <c:pt idx="0">
                  <c:v>30.8852291689442</c:v>
                </c:pt>
                <c:pt idx="1">
                  <c:v>28.8549646247677</c:v>
                </c:pt>
                <c:pt idx="2">
                  <c:v>27.3416735853641</c:v>
                </c:pt>
                <c:pt idx="3">
                  <c:v>24.6972820823227</c:v>
                </c:pt>
                <c:pt idx="4">
                  <c:v>20.7049035957395</c:v>
                </c:pt>
                <c:pt idx="5">
                  <c:v>24.918158200799</c:v>
                </c:pt>
                <c:pt idx="6">
                  <c:v>22.6931536533667</c:v>
                </c:pt>
                <c:pt idx="7">
                  <c:v>8.21412283554039</c:v>
                </c:pt>
                <c:pt idx="8">
                  <c:v>11.534244824775</c:v>
                </c:pt>
                <c:pt idx="9">
                  <c:v>17.2346816108205</c:v>
                </c:pt>
                <c:pt idx="10">
                  <c:v>5.81536309597809</c:v>
                </c:pt>
                <c:pt idx="11">
                  <c:v>4.26260750219672</c:v>
                </c:pt>
                <c:pt idx="12">
                  <c:v>7.80597044826949</c:v>
                </c:pt>
                <c:pt idx="13">
                  <c:v>9.45034275131892</c:v>
                </c:pt>
                <c:pt idx="14">
                  <c:v>3.48334282580464</c:v>
                </c:pt>
                <c:pt idx="15">
                  <c:v>-3.88783862574884</c:v>
                </c:pt>
                <c:pt idx="16">
                  <c:v>22.5266937235153</c:v>
                </c:pt>
                <c:pt idx="17">
                  <c:v>18.596432295771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39414896"/>
        <c:axId val="-1739408368"/>
      </c:scatterChart>
      <c:valAx>
        <c:axId val="-173941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9408368"/>
        <c:crosses val="autoZero"/>
        <c:crossBetween val="midCat"/>
      </c:valAx>
      <c:valAx>
        <c:axId val="-17394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941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04dfcd-deae-406e-945c-d54cae8796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最小二乘法拟合曲线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"联合优化"</c:f>
              <c:strCache>
                <c:ptCount val="1"/>
                <c:pt idx="0">
                  <c:v>联合优化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  <a:sp3d contourW="25400"/>
          </c:spPr>
          <c:marker>
            <c:symbol val="circle"/>
            <c:size val="6"/>
            <c:spPr>
              <a:solidFill>
                <a:schemeClr val="accent1">
                  <a:alpha val="95000"/>
                </a:schemeClr>
              </a:solidFill>
              <a:ln w="12700" cmpd="sng">
                <a:solidFill>
                  <a:schemeClr val="accent1"/>
                </a:solidFill>
                <a:prstDash val="solid"/>
              </a:ln>
              <a:effectLst/>
            </c:spPr>
          </c:marker>
          <c:dLbls>
            <c:delete val="1"/>
          </c:dLbls>
          <c:xVal>
            <c:numRef>
              <c:f>球心降噪!$B$2:$B$19</c:f>
              <c:numCache>
                <c:formatCode>0.00_ </c:formatCode>
                <c:ptCount val="18"/>
                <c:pt idx="0">
                  <c:v>884.558479532164</c:v>
                </c:pt>
                <c:pt idx="1">
                  <c:v>880.819573443412</c:v>
                </c:pt>
                <c:pt idx="2">
                  <c:v>877.080667354661</c:v>
                </c:pt>
                <c:pt idx="3">
                  <c:v>873.34176126591</c:v>
                </c:pt>
                <c:pt idx="4">
                  <c:v>869.602855177159</c:v>
                </c:pt>
                <c:pt idx="5">
                  <c:v>865.863949088407</c:v>
                </c:pt>
                <c:pt idx="6">
                  <c:v>862.125042999656</c:v>
                </c:pt>
                <c:pt idx="7">
                  <c:v>858.386136910905</c:v>
                </c:pt>
                <c:pt idx="8">
                  <c:v>854.647230822153</c:v>
                </c:pt>
                <c:pt idx="9">
                  <c:v>850.908324733402</c:v>
                </c:pt>
                <c:pt idx="10">
                  <c:v>847.169418644651</c:v>
                </c:pt>
                <c:pt idx="11">
                  <c:v>843.430512555899</c:v>
                </c:pt>
                <c:pt idx="12">
                  <c:v>839.691606467148</c:v>
                </c:pt>
                <c:pt idx="13">
                  <c:v>835.952700378397</c:v>
                </c:pt>
                <c:pt idx="14">
                  <c:v>832.213794289646</c:v>
                </c:pt>
                <c:pt idx="15">
                  <c:v>828.474888200894</c:v>
                </c:pt>
                <c:pt idx="16">
                  <c:v>824.735982112143</c:v>
                </c:pt>
                <c:pt idx="17">
                  <c:v>820.997076023392</c:v>
                </c:pt>
              </c:numCache>
            </c:numRef>
          </c:xVal>
          <c:yVal>
            <c:numRef>
              <c:f>球心降噪!$C$2:$C$19</c:f>
              <c:numCache>
                <c:formatCode>0.00_ </c:formatCode>
                <c:ptCount val="18"/>
                <c:pt idx="0">
                  <c:v>517.09649122807</c:v>
                </c:pt>
                <c:pt idx="1">
                  <c:v>519.536119711042</c:v>
                </c:pt>
                <c:pt idx="2">
                  <c:v>521.975748194014</c:v>
                </c:pt>
                <c:pt idx="3">
                  <c:v>524.415376676986</c:v>
                </c:pt>
                <c:pt idx="4">
                  <c:v>526.855005159959</c:v>
                </c:pt>
                <c:pt idx="5">
                  <c:v>529.294633642931</c:v>
                </c:pt>
                <c:pt idx="6">
                  <c:v>531.734262125903</c:v>
                </c:pt>
                <c:pt idx="7">
                  <c:v>534.173890608875</c:v>
                </c:pt>
                <c:pt idx="8">
                  <c:v>536.613519091847</c:v>
                </c:pt>
                <c:pt idx="9">
                  <c:v>539.053147574819</c:v>
                </c:pt>
                <c:pt idx="10">
                  <c:v>541.492776057791</c:v>
                </c:pt>
                <c:pt idx="11">
                  <c:v>543.932404540764</c:v>
                </c:pt>
                <c:pt idx="12">
                  <c:v>546.372033023736</c:v>
                </c:pt>
                <c:pt idx="13">
                  <c:v>548.811661506708</c:v>
                </c:pt>
                <c:pt idx="14">
                  <c:v>551.25128998968</c:v>
                </c:pt>
                <c:pt idx="15">
                  <c:v>553.690918472652</c:v>
                </c:pt>
                <c:pt idx="16">
                  <c:v>556.130546955624</c:v>
                </c:pt>
                <c:pt idx="17">
                  <c:v>558.570175438596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"分步优化"</c:f>
              <c:strCache>
                <c:ptCount val="1"/>
                <c:pt idx="0">
                  <c:v>分步优化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sysDot"/>
              <a:round/>
            </a:ln>
            <a:effectLst/>
            <a:sp3d contourW="12700"/>
          </c:spPr>
          <c:marker>
            <c:symbol val="diamond"/>
            <c:size val="5"/>
            <c:spPr>
              <a:solidFill>
                <a:schemeClr val="accent2">
                  <a:alpha val="60000"/>
                </a:schemeClr>
              </a:solidFill>
              <a:ln w="25400" cmpd="sng">
                <a:solidFill>
                  <a:schemeClr val="accent2"/>
                </a:solidFill>
                <a:prstDash val="solid"/>
              </a:ln>
              <a:effectLst/>
            </c:spPr>
          </c:marker>
          <c:dLbls>
            <c:delete val="1"/>
          </c:dLbls>
          <c:xVal>
            <c:numRef>
              <c:f>球心降噪!$E$2:$E$19</c:f>
              <c:numCache>
                <c:formatCode>0.00_ </c:formatCode>
                <c:ptCount val="18"/>
                <c:pt idx="0">
                  <c:v>884.556923951664</c:v>
                </c:pt>
                <c:pt idx="1">
                  <c:v>880.818200872383</c:v>
                </c:pt>
                <c:pt idx="2">
                  <c:v>877.079477793103</c:v>
                </c:pt>
                <c:pt idx="3">
                  <c:v>873.340754713822</c:v>
                </c:pt>
                <c:pt idx="4">
                  <c:v>869.602031634541</c:v>
                </c:pt>
                <c:pt idx="5">
                  <c:v>865.86330855526</c:v>
                </c:pt>
                <c:pt idx="6">
                  <c:v>862.12458547598</c:v>
                </c:pt>
                <c:pt idx="7">
                  <c:v>858.385862396699</c:v>
                </c:pt>
                <c:pt idx="8">
                  <c:v>854.647139317418</c:v>
                </c:pt>
                <c:pt idx="9">
                  <c:v>850.908416238137</c:v>
                </c:pt>
                <c:pt idx="10">
                  <c:v>847.169693158857</c:v>
                </c:pt>
                <c:pt idx="11">
                  <c:v>843.430970079576</c:v>
                </c:pt>
                <c:pt idx="12">
                  <c:v>839.692247000295</c:v>
                </c:pt>
                <c:pt idx="13">
                  <c:v>835.953523921014</c:v>
                </c:pt>
                <c:pt idx="14">
                  <c:v>832.214800841734</c:v>
                </c:pt>
                <c:pt idx="15">
                  <c:v>828.476077762453</c:v>
                </c:pt>
                <c:pt idx="16">
                  <c:v>824.737354683172</c:v>
                </c:pt>
                <c:pt idx="17">
                  <c:v>820.998631603891</c:v>
                </c:pt>
              </c:numCache>
            </c:numRef>
          </c:xVal>
          <c:yVal>
            <c:numRef>
              <c:f>球心降噪!$F$2:$F$19</c:f>
              <c:numCache>
                <c:formatCode>0.00_ </c:formatCode>
                <c:ptCount val="18"/>
                <c:pt idx="0">
                  <c:v>517.094107579775</c:v>
                </c:pt>
                <c:pt idx="1">
                  <c:v>519.534016491958</c:v>
                </c:pt>
                <c:pt idx="2">
                  <c:v>521.973925404142</c:v>
                </c:pt>
                <c:pt idx="3">
                  <c:v>524.413834316325</c:v>
                </c:pt>
                <c:pt idx="4">
                  <c:v>526.853743228508</c:v>
                </c:pt>
                <c:pt idx="5">
                  <c:v>529.293652140692</c:v>
                </c:pt>
                <c:pt idx="6">
                  <c:v>531.733561052875</c:v>
                </c:pt>
                <c:pt idx="7">
                  <c:v>534.173469965058</c:v>
                </c:pt>
                <c:pt idx="8">
                  <c:v>536.613378877242</c:v>
                </c:pt>
                <c:pt idx="9">
                  <c:v>539.053287789425</c:v>
                </c:pt>
                <c:pt idx="10">
                  <c:v>541.493196701608</c:v>
                </c:pt>
                <c:pt idx="11">
                  <c:v>543.933105613792</c:v>
                </c:pt>
                <c:pt idx="12">
                  <c:v>546.373014525975</c:v>
                </c:pt>
                <c:pt idx="13">
                  <c:v>548.812923438158</c:v>
                </c:pt>
                <c:pt idx="14">
                  <c:v>551.252832350341</c:v>
                </c:pt>
                <c:pt idx="15">
                  <c:v>553.692741262525</c:v>
                </c:pt>
                <c:pt idx="16">
                  <c:v>556.132650174708</c:v>
                </c:pt>
                <c:pt idx="17">
                  <c:v>558.572559086891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"原始噪点"</c:f>
              <c:strCache>
                <c:ptCount val="1"/>
                <c:pt idx="0">
                  <c:v>原始噪点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'L1'!$B$2:$B$19</c:f>
              <c:numCache>
                <c:formatCode>0.00_ </c:formatCode>
                <c:ptCount val="18"/>
                <c:pt idx="0">
                  <c:v>884.5</c:v>
                </c:pt>
                <c:pt idx="1">
                  <c:v>881</c:v>
                </c:pt>
                <c:pt idx="2">
                  <c:v>877.5</c:v>
                </c:pt>
                <c:pt idx="3">
                  <c:v>873</c:v>
                </c:pt>
                <c:pt idx="4">
                  <c:v>869.5</c:v>
                </c:pt>
                <c:pt idx="5">
                  <c:v>865.5</c:v>
                </c:pt>
                <c:pt idx="6">
                  <c:v>862.5</c:v>
                </c:pt>
                <c:pt idx="7">
                  <c:v>858.5</c:v>
                </c:pt>
                <c:pt idx="8">
                  <c:v>854.5</c:v>
                </c:pt>
                <c:pt idx="9">
                  <c:v>851</c:v>
                </c:pt>
                <c:pt idx="10">
                  <c:v>847</c:v>
                </c:pt>
                <c:pt idx="11">
                  <c:v>843</c:v>
                </c:pt>
                <c:pt idx="12">
                  <c:v>840</c:v>
                </c:pt>
                <c:pt idx="13">
                  <c:v>836</c:v>
                </c:pt>
                <c:pt idx="14">
                  <c:v>832</c:v>
                </c:pt>
                <c:pt idx="15">
                  <c:v>828.5</c:v>
                </c:pt>
                <c:pt idx="16">
                  <c:v>825</c:v>
                </c:pt>
                <c:pt idx="17">
                  <c:v>821</c:v>
                </c:pt>
              </c:numCache>
            </c:numRef>
          </c:xVal>
          <c:yVal>
            <c:numRef>
              <c:f>'L1'!$C$2:$C$19</c:f>
              <c:numCache>
                <c:formatCode>0.00_ </c:formatCode>
                <c:ptCount val="18"/>
                <c:pt idx="0">
                  <c:v>518</c:v>
                </c:pt>
                <c:pt idx="1">
                  <c:v>520</c:v>
                </c:pt>
                <c:pt idx="2">
                  <c:v>522</c:v>
                </c:pt>
                <c:pt idx="3">
                  <c:v>524.5</c:v>
                </c:pt>
                <c:pt idx="4">
                  <c:v>526.5</c:v>
                </c:pt>
                <c:pt idx="5">
                  <c:v>529</c:v>
                </c:pt>
                <c:pt idx="6">
                  <c:v>531.5</c:v>
                </c:pt>
                <c:pt idx="7">
                  <c:v>533.5</c:v>
                </c:pt>
                <c:pt idx="8">
                  <c:v>536.5</c:v>
                </c:pt>
                <c:pt idx="9">
                  <c:v>539</c:v>
                </c:pt>
                <c:pt idx="10">
                  <c:v>541</c:v>
                </c:pt>
                <c:pt idx="11">
                  <c:v>543.5</c:v>
                </c:pt>
                <c:pt idx="12">
                  <c:v>546</c:v>
                </c:pt>
                <c:pt idx="13">
                  <c:v>549</c:v>
                </c:pt>
                <c:pt idx="14">
                  <c:v>551.5</c:v>
                </c:pt>
                <c:pt idx="15">
                  <c:v>554</c:v>
                </c:pt>
                <c:pt idx="16">
                  <c:v>556.5</c:v>
                </c:pt>
                <c:pt idx="17">
                  <c:v>559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92909"/>
        <c:axId val="921990807"/>
      </c:scatterChart>
      <c:valAx>
        <c:axId val="3718929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990807"/>
        <c:crosses val="autoZero"/>
        <c:crossBetween val="midCat"/>
      </c:valAx>
      <c:valAx>
        <c:axId val="921990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892909"/>
        <c:crosses val="autoZero"/>
        <c:crossBetween val="midCat"/>
        <c:maj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d3b3d5-7e11-49c7-86f0-2e69a5b304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距原始噪点欧式距离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"联合优化相较于原始噪点距离"</c:f>
              <c:strCache>
                <c:ptCount val="1"/>
                <c:pt idx="0">
                  <c:v>联合优化相较于原始噪点距离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strRef>
              <c:f>球心降噪!$1:$18</c:f>
              <c:strCache>
                <c:ptCount val="18"/>
                <c:pt idx="0">
                  <c:v>序号 x0 y0 联合优化相较于原始点距离 x1 y1 分布优化相较于原始点距离</c:v>
                </c:pt>
                <c:pt idx="1">
                  <c:v>25 884.56 517.10 0.91 884.56 517.09 0.91</c:v>
                </c:pt>
                <c:pt idx="2">
                  <c:v>45 880.82 519.54 0.50 880.82 519.53 0.50</c:v>
                </c:pt>
                <c:pt idx="3">
                  <c:v>65 877.08 521.98 0.42 877.08 521.97 0.42</c:v>
                </c:pt>
                <c:pt idx="4">
                  <c:v>85 873.34 524.42 0.35 873.34 524.41 0.35</c:v>
                </c:pt>
                <c:pt idx="5">
                  <c:v>105 869.60 526.86 0.37 869.60 526.85 0.37</c:v>
                </c:pt>
                <c:pt idx="6">
                  <c:v>125 865.86 529.29 0.47 865.86 529.29 0.47</c:v>
                </c:pt>
                <c:pt idx="7">
                  <c:v>145 862.13 531.73 0.44 862.12 531.73 0.44</c:v>
                </c:pt>
                <c:pt idx="8">
                  <c:v>165 858.39 534.17 0.68 858.39 534.17 0.68</c:v>
                </c:pt>
                <c:pt idx="9">
                  <c:v>185 854.65 536.61 0.19 854.65 536.61 0.19</c:v>
                </c:pt>
                <c:pt idx="10">
                  <c:v>205 850.91 539.05 0.11 850.91 539.05 0.11</c:v>
                </c:pt>
                <c:pt idx="11">
                  <c:v>225 847.17 541.49 0.52 847.17 541.49 0.52</c:v>
                </c:pt>
                <c:pt idx="12">
                  <c:v>245 843.43 543.93 0.61 843.43 543.93 0.61</c:v>
                </c:pt>
                <c:pt idx="13">
                  <c:v>265 839.69 546.37 0.48 839.69 546.37 0.48</c:v>
                </c:pt>
                <c:pt idx="14">
                  <c:v>285 835.95 548.81 0.19 835.95 548.81 0.19</c:v>
                </c:pt>
                <c:pt idx="15">
                  <c:v>305 832.21 551.25 0.33 832.21 551.25 0.33</c:v>
                </c:pt>
                <c:pt idx="16">
                  <c:v>325 828.47 553.69 0.31 828.48 553.69 0.31</c:v>
                </c:pt>
                <c:pt idx="17">
                  <c:v>345 824.74 556.13 0.45 824.74 556.13 0.45</c:v>
                </c:pt>
              </c:strCache>
            </c:strRef>
          </c:xVal>
          <c:yVal>
            <c:numRef>
              <c:f>球心降噪!$D$2:$D$19</c:f>
              <c:numCache>
                <c:formatCode>0.00_ </c:formatCode>
                <c:ptCount val="18"/>
                <c:pt idx="0">
                  <c:v>0.905399335451789</c:v>
                </c:pt>
                <c:pt idx="1">
                  <c:v>0.497733527910207</c:v>
                </c:pt>
                <c:pt idx="2">
                  <c:v>0.420033352890632</c:v>
                </c:pt>
                <c:pt idx="3">
                  <c:v>0.352082191646118</c:v>
                </c:pt>
                <c:pt idx="4">
                  <c:v>0.369604993291355</c:v>
                </c:pt>
                <c:pt idx="5">
                  <c:v>0.468260528444466</c:v>
                </c:pt>
                <c:pt idx="6">
                  <c:v>0.442121584792659</c:v>
                </c:pt>
                <c:pt idx="7">
                  <c:v>0.683442284167582</c:v>
                </c:pt>
                <c:pt idx="8">
                  <c:v>0.185912611744398</c:v>
                </c:pt>
                <c:pt idx="9">
                  <c:v>0.10596706665264</c:v>
                </c:pt>
                <c:pt idx="10">
                  <c:v>0.521086288715682</c:v>
                </c:pt>
                <c:pt idx="11">
                  <c:v>0.610175997282732</c:v>
                </c:pt>
                <c:pt idx="12">
                  <c:v>0.483234044594445</c:v>
                </c:pt>
                <c:pt idx="13">
                  <c:v>0.194187132064121</c:v>
                </c:pt>
                <c:pt idx="14">
                  <c:v>0.327970528429927</c:v>
                </c:pt>
                <c:pt idx="15">
                  <c:v>0.310099972592874</c:v>
                </c:pt>
                <c:pt idx="16">
                  <c:v>0.454093599500305</c:v>
                </c:pt>
                <c:pt idx="17">
                  <c:v>0.429834506787568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"分步优化相较于原始噪点距离"</c:f>
              <c:strCache>
                <c:ptCount val="1"/>
                <c:pt idx="0">
                  <c:v>分步优化相较于原始噪点距离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sysDot"/>
              <a:round/>
            </a:ln>
            <a:effectLst/>
            <a:sp3d contourW="12700"/>
          </c:spPr>
          <c:marker>
            <c:symbol val="diamond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球心降噪!$1:$18</c:f>
              <c:strCache>
                <c:ptCount val="18"/>
                <c:pt idx="0">
                  <c:v>序号 x0 y0 联合优化相较于原始点距离 x1 y1 分布优化相较于原始点距离</c:v>
                </c:pt>
                <c:pt idx="1">
                  <c:v>25 884.56 517.10 0.91 884.56 517.09 0.91</c:v>
                </c:pt>
                <c:pt idx="2">
                  <c:v>45 880.82 519.54 0.50 880.82 519.53 0.50</c:v>
                </c:pt>
                <c:pt idx="3">
                  <c:v>65 877.08 521.98 0.42 877.08 521.97 0.42</c:v>
                </c:pt>
                <c:pt idx="4">
                  <c:v>85 873.34 524.42 0.35 873.34 524.41 0.35</c:v>
                </c:pt>
                <c:pt idx="5">
                  <c:v>105 869.60 526.86 0.37 869.60 526.85 0.37</c:v>
                </c:pt>
                <c:pt idx="6">
                  <c:v>125 865.86 529.29 0.47 865.86 529.29 0.47</c:v>
                </c:pt>
                <c:pt idx="7">
                  <c:v>145 862.13 531.73 0.44 862.12 531.73 0.44</c:v>
                </c:pt>
                <c:pt idx="8">
                  <c:v>165 858.39 534.17 0.68 858.39 534.17 0.68</c:v>
                </c:pt>
                <c:pt idx="9">
                  <c:v>185 854.65 536.61 0.19 854.65 536.61 0.19</c:v>
                </c:pt>
                <c:pt idx="10">
                  <c:v>205 850.91 539.05 0.11 850.91 539.05 0.11</c:v>
                </c:pt>
                <c:pt idx="11">
                  <c:v>225 847.17 541.49 0.52 847.17 541.49 0.52</c:v>
                </c:pt>
                <c:pt idx="12">
                  <c:v>245 843.43 543.93 0.61 843.43 543.93 0.61</c:v>
                </c:pt>
                <c:pt idx="13">
                  <c:v>265 839.69 546.37 0.48 839.69 546.37 0.48</c:v>
                </c:pt>
                <c:pt idx="14">
                  <c:v>285 835.95 548.81 0.19 835.95 548.81 0.19</c:v>
                </c:pt>
                <c:pt idx="15">
                  <c:v>305 832.21 551.25 0.33 832.21 551.25 0.33</c:v>
                </c:pt>
                <c:pt idx="16">
                  <c:v>325 828.47 553.69 0.31 828.48 553.69 0.31</c:v>
                </c:pt>
                <c:pt idx="17">
                  <c:v>345 824.74 556.13 0.45 824.74 556.13 0.45</c:v>
                </c:pt>
              </c:strCache>
            </c:strRef>
          </c:xVal>
          <c:yVal>
            <c:numRef>
              <c:f>球心降噪!$G$2:$G$19</c:f>
              <c:numCache>
                <c:formatCode>0.00_ </c:formatCode>
                <c:ptCount val="18"/>
                <c:pt idx="0">
                  <c:v>0.907679135649873</c:v>
                </c:pt>
                <c:pt idx="1">
                  <c:v>0.500191515891052</c:v>
                </c:pt>
                <c:pt idx="2">
                  <c:v>0.42132981266777</c:v>
                </c:pt>
                <c:pt idx="3">
                  <c:v>0.351480155961998</c:v>
                </c:pt>
                <c:pt idx="4">
                  <c:v>0.368163993571367</c:v>
                </c:pt>
                <c:pt idx="5">
                  <c:v>0.467145251563241</c:v>
                </c:pt>
                <c:pt idx="6">
                  <c:v>0.442138926430636</c:v>
                </c:pt>
                <c:pt idx="7">
                  <c:v>0.68307333890473</c:v>
                </c:pt>
                <c:pt idx="8">
                  <c:v>0.185754538396484</c:v>
                </c:pt>
                <c:pt idx="9">
                  <c:v>0.105958359456848</c:v>
                </c:pt>
                <c:pt idx="10">
                  <c:v>0.521573345407762</c:v>
                </c:pt>
                <c:pt idx="11">
                  <c:v>0.610995648256113</c:v>
                </c:pt>
                <c:pt idx="12">
                  <c:v>0.483582201301707</c:v>
                </c:pt>
                <c:pt idx="13">
                  <c:v>0.192763237959237</c:v>
                </c:pt>
                <c:pt idx="14">
                  <c:v>0.327461827771715</c:v>
                </c:pt>
                <c:pt idx="15">
                  <c:v>0.308188587076107</c:v>
                </c:pt>
                <c:pt idx="16">
                  <c:v>0.451584384798342</c:v>
                </c:pt>
                <c:pt idx="17">
                  <c:v>0.427443103473829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549447"/>
        <c:axId val="643801434"/>
      </c:scatterChart>
      <c:valAx>
        <c:axId val="405549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点序号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801434"/>
        <c:crosses val="autoZero"/>
        <c:crossBetween val="midCat"/>
      </c:valAx>
      <c:valAx>
        <c:axId val="6438014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距离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5494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0716fe-207f-4a51-8f19-6520f14a56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拟合平面经旋转后在</a:t>
            </a:r>
            <a:r>
              <a:rPr lang="en-US" altLang="zh-CN"/>
              <a:t>XY</a:t>
            </a:r>
            <a:r>
              <a:rPr altLang="en-US"/>
              <a:t>平面上的投影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"圆"</c:f>
              <c:strCache>
                <c:ptCount val="1"/>
                <c:pt idx="0">
                  <c:v>圆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'L2'!$E$2:$E$20</c:f>
              <c:numCache>
                <c:formatCode>0.00_ </c:formatCode>
                <c:ptCount val="19"/>
                <c:pt idx="0">
                  <c:v>47.44</c:v>
                </c:pt>
                <c:pt idx="1">
                  <c:v>44.5818885096479</c:v>
                </c:pt>
                <c:pt idx="2">
                  <c:v>36.3519385786961</c:v>
                </c:pt>
                <c:pt idx="3">
                  <c:v>23.7418076465493</c:v>
                </c:pt>
                <c:pt idx="4">
                  <c:v>8.27093753917763</c:v>
                </c:pt>
                <c:pt idx="5">
                  <c:v>-8.19652875776856</c:v>
                </c:pt>
                <c:pt idx="6">
                  <c:v>-23.6763646574306</c:v>
                </c:pt>
                <c:pt idx="7">
                  <c:v>-36.3033468523216</c:v>
                </c:pt>
                <c:pt idx="8">
                  <c:v>-44.5560030448154</c:v>
                </c:pt>
                <c:pt idx="9">
                  <c:v>-47.4399398331545</c:v>
                </c:pt>
                <c:pt idx="10">
                  <c:v>-44.6076608905174</c:v>
                </c:pt>
                <c:pt idx="11">
                  <c:v>-36.4004380967454</c:v>
                </c:pt>
                <c:pt idx="12">
                  <c:v>-23.8071904135063</c:v>
                </c:pt>
                <c:pt idx="13">
                  <c:v>-8.3453253409821</c:v>
                </c:pt>
                <c:pt idx="14">
                  <c:v>8.12209918549612</c:v>
                </c:pt>
                <c:pt idx="15">
                  <c:v>23.6108616121494</c:v>
                </c:pt>
                <c:pt idx="16">
                  <c:v>36.254663040877</c:v>
                </c:pt>
                <c:pt idx="17">
                  <c:v>44.5300045616798</c:v>
                </c:pt>
                <c:pt idx="18" c:formatCode="General">
                  <c:v>47.4397593327705</c:v>
                </c:pt>
              </c:numCache>
            </c:numRef>
          </c:xVal>
          <c:yVal>
            <c:numRef>
              <c:f>'L2'!$F$2:$F$20</c:f>
              <c:numCache>
                <c:formatCode>0.00_ </c:formatCode>
                <c:ptCount val="19"/>
                <c:pt idx="0">
                  <c:v>0</c:v>
                </c:pt>
                <c:pt idx="1">
                  <c:v>16.2175465750319</c:v>
                </c:pt>
                <c:pt idx="2">
                  <c:v>30.4809803249618</c:v>
                </c:pt>
                <c:pt idx="3">
                  <c:v>41.0716467855168</c:v>
                </c:pt>
                <c:pt idx="4">
                  <c:v>46.7134369557949</c:v>
                </c:pt>
                <c:pt idx="5">
                  <c:v>46.7265504432231</c:v>
                </c:pt>
                <c:pt idx="6">
                  <c:v>41.1094071546692</c:v>
                </c:pt>
                <c:pt idx="7">
                  <c:v>30.5388376877712</c:v>
                </c:pt>
                <c:pt idx="8">
                  <c:v>16.2885294815216</c:v>
                </c:pt>
                <c:pt idx="9">
                  <c:v>0.0755554543581351</c:v>
                </c:pt>
                <c:pt idx="10">
                  <c:v>-16.1465225320068</c:v>
                </c:pt>
                <c:pt idx="11">
                  <c:v>-30.4230456457766</c:v>
                </c:pt>
                <c:pt idx="12">
                  <c:v>-41.0337822362874</c:v>
                </c:pt>
                <c:pt idx="13">
                  <c:v>-46.7002049776354</c:v>
                </c:pt>
                <c:pt idx="14">
                  <c:v>-46.7395454066571</c:v>
                </c:pt>
                <c:pt idx="15">
                  <c:v>-41.1470632479638</c:v>
                </c:pt>
                <c:pt idx="16">
                  <c:v>-30.5966175874469</c:v>
                </c:pt>
                <c:pt idx="17">
                  <c:v>-16.3594710714245</c:v>
                </c:pt>
                <c:pt idx="18" c:formatCode="General">
                  <c:v>-0.151110717066466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"降噪后投影"</c:f>
              <c:strCache>
                <c:ptCount val="1"/>
                <c:pt idx="0">
                  <c:v>降噪后投影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旋转轴与投影!$H$2:$H$20</c:f>
              <c:numCache>
                <c:formatCode>General</c:formatCode>
                <c:ptCount val="19"/>
                <c:pt idx="0">
                  <c:v>37.5518708493067</c:v>
                </c:pt>
                <c:pt idx="1">
                  <c:v>38.8752401167859</c:v>
                </c:pt>
                <c:pt idx="2">
                  <c:v>39.1314806914079</c:v>
                </c:pt>
                <c:pt idx="3">
                  <c:v>39.1344588684106</c:v>
                </c:pt>
                <c:pt idx="4">
                  <c:v>38.6807080739839</c:v>
                </c:pt>
                <c:pt idx="5">
                  <c:v>37.7702283081298</c:v>
                </c:pt>
                <c:pt idx="6">
                  <c:v>37.1130109398945</c:v>
                </c:pt>
                <c:pt idx="7">
                  <c:v>35.9990646002306</c:v>
                </c:pt>
                <c:pt idx="8">
                  <c:v>34.224922715329</c:v>
                </c:pt>
                <c:pt idx="9">
                  <c:v>31.790585285189</c:v>
                </c:pt>
                <c:pt idx="10">
                  <c:v>29.356247855049</c:v>
                </c:pt>
                <c:pt idx="11">
                  <c:v>26.7184438510991</c:v>
                </c:pt>
                <c:pt idx="12">
                  <c:v>24.5373688185784</c:v>
                </c:pt>
                <c:pt idx="13">
                  <c:v>21.6960982408196</c:v>
                </c:pt>
                <c:pt idx="14">
                  <c:v>18.1946321178227</c:v>
                </c:pt>
                <c:pt idx="15">
                  <c:v>15.3533615400643</c:v>
                </c:pt>
                <c:pt idx="16">
                  <c:v>12.1051578146867</c:v>
                </c:pt>
                <c:pt idx="17">
                  <c:v>8.65348751549973</c:v>
                </c:pt>
              </c:numCache>
            </c:numRef>
          </c:xVal>
          <c:yVal>
            <c:numRef>
              <c:f>旋转轴与投影!$I$2:$I$20</c:f>
              <c:numCache>
                <c:formatCode>General</c:formatCode>
                <c:ptCount val="19"/>
                <c:pt idx="0">
                  <c:v>27.5451356774842</c:v>
                </c:pt>
                <c:pt idx="1">
                  <c:v>26.745727778357</c:v>
                </c:pt>
                <c:pt idx="2">
                  <c:v>26.7451004812523</c:v>
                </c:pt>
                <c:pt idx="3">
                  <c:v>26.769476112824</c:v>
                </c:pt>
                <c:pt idx="4">
                  <c:v>26.9471925942159</c:v>
                </c:pt>
                <c:pt idx="5">
                  <c:v>27.1705375759781</c:v>
                </c:pt>
                <c:pt idx="6">
                  <c:v>26.7252667800205</c:v>
                </c:pt>
                <c:pt idx="7">
                  <c:v>26.3374401962207</c:v>
                </c:pt>
                <c:pt idx="8">
                  <c:v>26.5162265042296</c:v>
                </c:pt>
                <c:pt idx="9">
                  <c:v>27.2288746500686</c:v>
                </c:pt>
                <c:pt idx="10">
                  <c:v>27.3456277404456</c:v>
                </c:pt>
                <c:pt idx="11">
                  <c:v>27.6012647904757</c:v>
                </c:pt>
                <c:pt idx="12">
                  <c:v>27.114147761045</c:v>
                </c:pt>
                <c:pt idx="13">
                  <c:v>27.1361592332932</c:v>
                </c:pt>
                <c:pt idx="14">
                  <c:v>27.5124857914732</c:v>
                </c:pt>
                <c:pt idx="15">
                  <c:v>26.4257521763015</c:v>
                </c:pt>
                <c:pt idx="16">
                  <c:v>26.4952993837756</c:v>
                </c:pt>
                <c:pt idx="17">
                  <c:v>26.8888301505863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"未降噪投影"</c:f>
              <c:strCache>
                <c:ptCount val="1"/>
                <c:pt idx="0">
                  <c:v>未降噪投影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旋转轴与投影!$L$2:$L$19</c:f>
              <c:numCache>
                <c:formatCode>General</c:formatCode>
                <c:ptCount val="18"/>
                <c:pt idx="0">
                  <c:v>35.8845149077707</c:v>
                </c:pt>
                <c:pt idx="1">
                  <c:v>35.8369608285804</c:v>
                </c:pt>
                <c:pt idx="2">
                  <c:v>35.3072748645608</c:v>
                </c:pt>
                <c:pt idx="3">
                  <c:v>33.7598267917936</c:v>
                </c:pt>
                <c:pt idx="4">
                  <c:v>32.2242672388239</c:v>
                </c:pt>
                <c:pt idx="5">
                  <c:v>29.6828340969042</c:v>
                </c:pt>
                <c:pt idx="6">
                  <c:v>27.6591983992064</c:v>
                </c:pt>
                <c:pt idx="7">
                  <c:v>25.6236741817111</c:v>
                </c:pt>
                <c:pt idx="8">
                  <c:v>22.0942002305375</c:v>
                </c:pt>
                <c:pt idx="9">
                  <c:v>18.5766147991616</c:v>
                </c:pt>
                <c:pt idx="10">
                  <c:v>15.5530497724125</c:v>
                </c:pt>
                <c:pt idx="11">
                  <c:v>12.0354643410365</c:v>
                </c:pt>
                <c:pt idx="12">
                  <c:v>9.02973209398376</c:v>
                </c:pt>
                <c:pt idx="13">
                  <c:v>5.01812625798092</c:v>
                </c:pt>
                <c:pt idx="14">
                  <c:v>1.01246468187686</c:v>
                </c:pt>
                <c:pt idx="15">
                  <c:v>-2.49323222970154</c:v>
                </c:pt>
                <c:pt idx="16">
                  <c:v>-5.98704062148238</c:v>
                </c:pt>
                <c:pt idx="17">
                  <c:v>-9.48084901326322</c:v>
                </c:pt>
              </c:numCache>
            </c:numRef>
          </c:xVal>
          <c:yVal>
            <c:numRef>
              <c:f>旋转轴与投影!$M$2:$M$19</c:f>
              <c:numCache>
                <c:formatCode>General</c:formatCode>
                <c:ptCount val="18"/>
                <c:pt idx="0">
                  <c:v>30.5971501314081</c:v>
                </c:pt>
                <c:pt idx="1">
                  <c:v>29.6397029782784</c:v>
                </c:pt>
                <c:pt idx="2">
                  <c:v>29.3495555866634</c:v>
                </c:pt>
                <c:pt idx="3">
                  <c:v>29.24349688588</c:v>
                </c:pt>
                <c:pt idx="4">
                  <c:v>29.1601230450425</c:v>
                </c:pt>
                <c:pt idx="5">
                  <c:v>29.3801203464063</c:v>
                </c:pt>
                <c:pt idx="6">
                  <c:v>29.8079942642832</c:v>
                </c:pt>
                <c:pt idx="7">
                  <c:v>28.847313317116</c:v>
                </c:pt>
                <c:pt idx="8">
                  <c:v>29.3576299662944</c:v>
                </c:pt>
                <c:pt idx="9">
                  <c:v>30.4082688974515</c:v>
                </c:pt>
                <c:pt idx="10">
                  <c:v>29.8976424367853</c:v>
                </c:pt>
                <c:pt idx="11">
                  <c:v>29.8204233095988</c:v>
                </c:pt>
                <c:pt idx="12">
                  <c:v>30.4389972634051</c:v>
                </c:pt>
                <c:pt idx="13">
                  <c:v>30.1827343340946</c:v>
                </c:pt>
                <c:pt idx="14">
                  <c:v>29.9912856259764</c:v>
                </c:pt>
                <c:pt idx="15">
                  <c:v>29.1546775279477</c:v>
                </c:pt>
                <c:pt idx="16">
                  <c:v>29.3903860480841</c:v>
                </c:pt>
                <c:pt idx="17">
                  <c:v>29.0913317657002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"对比"</c:f>
              <c:strCache>
                <c:ptCount val="1"/>
                <c:pt idx="0">
                  <c:v>对比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旋转轴与投影!$O$2:$O$19</c:f>
              <c:numCache>
                <c:formatCode>General</c:formatCode>
                <c:ptCount val="18"/>
                <c:pt idx="0">
                  <c:v>35.9498521970467</c:v>
                </c:pt>
                <c:pt idx="1">
                  <c:v>35.9289443984996</c:v>
                </c:pt>
                <c:pt idx="2">
                  <c:v>35.415883854705</c:v>
                </c:pt>
                <c:pt idx="3">
                  <c:v>33.8949965470498</c:v>
                </c:pt>
                <c:pt idx="4">
                  <c:v>32.3793361890314</c:v>
                </c:pt>
                <c:pt idx="5">
                  <c:v>29.8610760167891</c:v>
                </c:pt>
                <c:pt idx="6">
                  <c:v>27.8506494387047</c:v>
                </c:pt>
                <c:pt idx="7">
                  <c:v>25.8349959109836</c:v>
                </c:pt>
                <c:pt idx="8">
                  <c:v>22.3219763489726</c:v>
                </c:pt>
                <c:pt idx="9">
                  <c:v>18.8141837365984</c:v>
                </c:pt>
                <c:pt idx="10">
                  <c:v>15.8037708191086</c:v>
                </c:pt>
                <c:pt idx="11">
                  <c:v>12.2959782067344</c:v>
                </c:pt>
                <c:pt idx="12">
                  <c:v>9.2934057136997</c:v>
                </c:pt>
                <c:pt idx="13">
                  <c:v>5.28823340644118</c:v>
                </c:pt>
                <c:pt idx="14">
                  <c:v>1.28567457400103</c:v>
                </c:pt>
                <c:pt idx="15">
                  <c:v>-2.21689108873639</c:v>
                </c:pt>
                <c:pt idx="16">
                  <c:v>-5.71422980183706</c:v>
                </c:pt>
                <c:pt idx="17">
                  <c:v>-9.21156851493772</c:v>
                </c:pt>
              </c:numCache>
            </c:numRef>
          </c:xVal>
          <c:yVal>
            <c:numRef>
              <c:f>旋转轴与投影!$P$2:$P$19</c:f>
              <c:numCache>
                <c:formatCode>General</c:formatCode>
                <c:ptCount val="18"/>
                <c:pt idx="0">
                  <c:v>30.5508991459797</c:v>
                </c:pt>
                <c:pt idx="1">
                  <c:v>29.5862794402994</c:v>
                </c:pt>
                <c:pt idx="2">
                  <c:v>29.2922634575459</c:v>
                </c:pt>
                <c:pt idx="3">
                  <c:v>29.1808549636835</c:v>
                </c:pt>
                <c:pt idx="4">
                  <c:v>29.0938654047332</c:v>
                </c:pt>
                <c:pt idx="5">
                  <c:v>29.3105261921941</c:v>
                </c:pt>
                <c:pt idx="6">
                  <c:v>29.7371818700338</c:v>
                </c:pt>
                <c:pt idx="7">
                  <c:v>28.7731762903532</c:v>
                </c:pt>
                <c:pt idx="8">
                  <c:v>29.2830239091722</c:v>
                </c:pt>
                <c:pt idx="9">
                  <c:v>30.3350689858281</c:v>
                </c:pt>
                <c:pt idx="10">
                  <c:v>29.8240289178094</c:v>
                </c:pt>
                <c:pt idx="11">
                  <c:v>29.7479084974178</c:v>
                </c:pt>
                <c:pt idx="12">
                  <c:v>30.368968485558</c:v>
                </c:pt>
                <c:pt idx="13">
                  <c:v>30.1151496313741</c:v>
                </c:pt>
                <c:pt idx="14">
                  <c:v>29.9270266115456</c:v>
                </c:pt>
                <c:pt idx="15">
                  <c:v>29.0930381126321</c:v>
                </c:pt>
                <c:pt idx="16">
                  <c:v>29.3333864221325</c:v>
                </c:pt>
                <c:pt idx="17">
                  <c:v>29.0388261600757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97616"/>
        <c:axId val="858172422"/>
      </c:scatterChart>
      <c:valAx>
        <c:axId val="50697616"/>
        <c:scaling>
          <c:orientation val="minMax"/>
        </c:scaling>
        <c:delete val="0"/>
        <c:axPos val="b"/>
        <c:numFmt formatCode="0.00_ 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58172422"/>
        <c:crosses val="autoZero"/>
        <c:crossBetween val="midCat"/>
      </c:valAx>
      <c:valAx>
        <c:axId val="858172422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0697616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166687</xdr:colOff>
      <xdr:row>0</xdr:row>
      <xdr:rowOff>147636</xdr:rowOff>
    </xdr:from>
    <xdr:to>
      <xdr:col>13</xdr:col>
      <xdr:colOff>161925</xdr:colOff>
      <xdr:row>26</xdr:row>
      <xdr:rowOff>114299</xdr:rowOff>
    </xdr:to>
    <xdr:graphicFrame>
      <xdr:nvGraphicFramePr>
        <xdr:cNvPr id="2" name="图表 1"/>
        <xdr:cNvGraphicFramePr/>
      </xdr:nvGraphicFramePr>
      <xdr:xfrm>
        <a:off x="3869690" y="147320"/>
        <a:ext cx="4316095" cy="4721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492760</xdr:colOff>
      <xdr:row>1</xdr:row>
      <xdr:rowOff>17145</xdr:rowOff>
    </xdr:from>
    <xdr:to>
      <xdr:col>18</xdr:col>
      <xdr:colOff>143510</xdr:colOff>
      <xdr:row>28</xdr:row>
      <xdr:rowOff>31750</xdr:rowOff>
    </xdr:to>
    <xdr:graphicFrame>
      <xdr:nvGraphicFramePr>
        <xdr:cNvPr id="2" name="图表 1"/>
        <xdr:cNvGraphicFramePr/>
      </xdr:nvGraphicFramePr>
      <xdr:xfrm>
        <a:off x="7548880" y="200025"/>
        <a:ext cx="4588510" cy="4952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447675</xdr:colOff>
      <xdr:row>0</xdr:row>
      <xdr:rowOff>114300</xdr:rowOff>
    </xdr:from>
    <xdr:to>
      <xdr:col>18</xdr:col>
      <xdr:colOff>219075</xdr:colOff>
      <xdr:row>27</xdr:row>
      <xdr:rowOff>95250</xdr:rowOff>
    </xdr:to>
    <xdr:graphicFrame>
      <xdr:nvGraphicFramePr>
        <xdr:cNvPr id="2" name="图表 1"/>
        <xdr:cNvGraphicFramePr/>
      </xdr:nvGraphicFramePr>
      <xdr:xfrm>
        <a:off x="6989445" y="114300"/>
        <a:ext cx="4091940" cy="4918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228601</xdr:colOff>
      <xdr:row>0</xdr:row>
      <xdr:rowOff>80961</xdr:rowOff>
    </xdr:from>
    <xdr:to>
      <xdr:col>17</xdr:col>
      <xdr:colOff>485775</xdr:colOff>
      <xdr:row>29</xdr:row>
      <xdr:rowOff>161925</xdr:rowOff>
    </xdr:to>
    <xdr:graphicFrame>
      <xdr:nvGraphicFramePr>
        <xdr:cNvPr id="2" name="图表 1"/>
        <xdr:cNvGraphicFramePr/>
      </xdr:nvGraphicFramePr>
      <xdr:xfrm>
        <a:off x="6590030" y="80645"/>
        <a:ext cx="4577715" cy="538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0</xdr:row>
      <xdr:rowOff>80961</xdr:rowOff>
    </xdr:from>
    <xdr:to>
      <xdr:col>17</xdr:col>
      <xdr:colOff>266700</xdr:colOff>
      <xdr:row>28</xdr:row>
      <xdr:rowOff>9525</xdr:rowOff>
    </xdr:to>
    <xdr:graphicFrame>
      <xdr:nvGraphicFramePr>
        <xdr:cNvPr id="2" name="图表 1"/>
        <xdr:cNvGraphicFramePr/>
      </xdr:nvGraphicFramePr>
      <xdr:xfrm>
        <a:off x="6380480" y="80645"/>
        <a:ext cx="4568190" cy="504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342900</xdr:colOff>
      <xdr:row>6</xdr:row>
      <xdr:rowOff>104775</xdr:rowOff>
    </xdr:from>
    <xdr:to>
      <xdr:col>7</xdr:col>
      <xdr:colOff>381000</xdr:colOff>
      <xdr:row>32</xdr:row>
      <xdr:rowOff>85725</xdr:rowOff>
    </xdr:to>
    <xdr:graphicFrame>
      <xdr:nvGraphicFramePr>
        <xdr:cNvPr id="2" name="图表 1"/>
        <xdr:cNvGraphicFramePr/>
      </xdr:nvGraphicFramePr>
      <xdr:xfrm>
        <a:off x="342900" y="1202055"/>
        <a:ext cx="4547870" cy="4735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391795</xdr:colOff>
      <xdr:row>0</xdr:row>
      <xdr:rowOff>153670</xdr:rowOff>
    </xdr:from>
    <xdr:to>
      <xdr:col>16</xdr:col>
      <xdr:colOff>35560</xdr:colOff>
      <xdr:row>16</xdr:row>
      <xdr:rowOff>151130</xdr:rowOff>
    </xdr:to>
    <xdr:graphicFrame>
      <xdr:nvGraphicFramePr>
        <xdr:cNvPr id="2" name="图表 1"/>
        <xdr:cNvGraphicFramePr/>
      </xdr:nvGraphicFramePr>
      <xdr:xfrm>
        <a:off x="7193280" y="153670"/>
        <a:ext cx="5815965" cy="2923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408940</xdr:colOff>
      <xdr:row>18</xdr:row>
      <xdr:rowOff>63500</xdr:rowOff>
    </xdr:from>
    <xdr:to>
      <xdr:col>16</xdr:col>
      <xdr:colOff>52705</xdr:colOff>
      <xdr:row>35</xdr:row>
      <xdr:rowOff>85725</xdr:rowOff>
    </xdr:to>
    <xdr:graphicFrame>
      <xdr:nvGraphicFramePr>
        <xdr:cNvPr id="3" name="图表 2"/>
        <xdr:cNvGraphicFramePr/>
      </xdr:nvGraphicFramePr>
      <xdr:xfrm>
        <a:off x="7210425" y="3355340"/>
        <a:ext cx="5815965" cy="3131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356870</xdr:colOff>
      <xdr:row>20</xdr:row>
      <xdr:rowOff>59055</xdr:rowOff>
    </xdr:from>
    <xdr:to>
      <xdr:col>14</xdr:col>
      <xdr:colOff>554990</xdr:colOff>
      <xdr:row>53</xdr:row>
      <xdr:rowOff>6350</xdr:rowOff>
    </xdr:to>
    <xdr:graphicFrame>
      <xdr:nvGraphicFramePr>
        <xdr:cNvPr id="2" name="图表 1" descr="7b0a202020202263686172745265734964223a20223139393836313830220a7d0a"/>
        <xdr:cNvGraphicFramePr/>
      </xdr:nvGraphicFramePr>
      <xdr:xfrm>
        <a:off x="6809105" y="3716655"/>
        <a:ext cx="6553200" cy="5982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D31" sqref="D31"/>
    </sheetView>
  </sheetViews>
  <sheetFormatPr defaultColWidth="9" defaultRowHeight="14.4"/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>
        <v>25</v>
      </c>
      <c r="B2">
        <v>836</v>
      </c>
      <c r="C2">
        <v>469</v>
      </c>
      <c r="D2">
        <v>933</v>
      </c>
      <c r="E2">
        <v>567</v>
      </c>
      <c r="F2">
        <v>892</v>
      </c>
      <c r="G2">
        <v>552</v>
      </c>
      <c r="H2">
        <v>896</v>
      </c>
      <c r="I2">
        <v>556</v>
      </c>
    </row>
    <row r="3" spans="1:9">
      <c r="A3">
        <v>45</v>
      </c>
      <c r="B3">
        <v>833</v>
      </c>
      <c r="C3">
        <v>472</v>
      </c>
      <c r="D3">
        <v>929</v>
      </c>
      <c r="E3">
        <v>568</v>
      </c>
      <c r="F3">
        <v>893</v>
      </c>
      <c r="G3">
        <v>553</v>
      </c>
      <c r="H3">
        <v>896</v>
      </c>
      <c r="I3">
        <v>559</v>
      </c>
    </row>
    <row r="4" spans="1:9">
      <c r="A4">
        <v>65</v>
      </c>
      <c r="B4">
        <v>829</v>
      </c>
      <c r="C4">
        <v>474</v>
      </c>
      <c r="D4">
        <v>926</v>
      </c>
      <c r="E4">
        <v>570</v>
      </c>
      <c r="F4">
        <v>892</v>
      </c>
      <c r="G4">
        <v>555</v>
      </c>
      <c r="H4">
        <v>895</v>
      </c>
      <c r="I4">
        <v>560</v>
      </c>
    </row>
    <row r="5" spans="1:9">
      <c r="A5">
        <v>85</v>
      </c>
      <c r="B5">
        <v>825</v>
      </c>
      <c r="C5">
        <v>477</v>
      </c>
      <c r="D5">
        <v>921</v>
      </c>
      <c r="E5">
        <v>572</v>
      </c>
      <c r="F5">
        <v>892</v>
      </c>
      <c r="G5">
        <v>556</v>
      </c>
      <c r="H5">
        <v>894</v>
      </c>
      <c r="I5">
        <v>561</v>
      </c>
    </row>
    <row r="6" spans="1:9">
      <c r="A6">
        <v>105</v>
      </c>
      <c r="B6">
        <v>822</v>
      </c>
      <c r="C6">
        <v>479</v>
      </c>
      <c r="D6">
        <v>917</v>
      </c>
      <c r="E6">
        <v>574</v>
      </c>
      <c r="F6">
        <v>891</v>
      </c>
      <c r="G6">
        <v>557</v>
      </c>
      <c r="H6">
        <v>894</v>
      </c>
      <c r="I6">
        <v>561</v>
      </c>
    </row>
    <row r="7" spans="1:9">
      <c r="A7">
        <v>125</v>
      </c>
      <c r="B7">
        <v>818</v>
      </c>
      <c r="C7">
        <v>482</v>
      </c>
      <c r="D7">
        <v>913</v>
      </c>
      <c r="E7">
        <v>576</v>
      </c>
      <c r="F7">
        <v>890</v>
      </c>
      <c r="G7">
        <v>557</v>
      </c>
      <c r="H7">
        <v>894</v>
      </c>
      <c r="I7">
        <v>561</v>
      </c>
    </row>
    <row r="8" spans="1:9">
      <c r="A8">
        <v>145</v>
      </c>
      <c r="B8">
        <v>815</v>
      </c>
      <c r="C8">
        <v>484</v>
      </c>
      <c r="D8">
        <v>910</v>
      </c>
      <c r="E8">
        <v>579</v>
      </c>
      <c r="F8">
        <v>890</v>
      </c>
      <c r="G8">
        <v>557</v>
      </c>
      <c r="H8">
        <v>892</v>
      </c>
      <c r="I8">
        <v>562</v>
      </c>
    </row>
    <row r="9" spans="1:9">
      <c r="A9">
        <v>165</v>
      </c>
      <c r="B9">
        <v>811</v>
      </c>
      <c r="C9">
        <v>486</v>
      </c>
      <c r="D9">
        <v>906</v>
      </c>
      <c r="E9">
        <v>581</v>
      </c>
      <c r="F9">
        <v>889</v>
      </c>
      <c r="G9">
        <v>557</v>
      </c>
      <c r="H9">
        <v>891</v>
      </c>
      <c r="I9">
        <v>562</v>
      </c>
    </row>
    <row r="10" spans="1:9">
      <c r="A10">
        <v>185</v>
      </c>
      <c r="B10">
        <v>807</v>
      </c>
      <c r="C10">
        <v>489</v>
      </c>
      <c r="D10">
        <v>902</v>
      </c>
      <c r="E10">
        <v>584</v>
      </c>
      <c r="F10">
        <v>887</v>
      </c>
      <c r="G10">
        <v>557</v>
      </c>
      <c r="H10">
        <v>890</v>
      </c>
      <c r="I10">
        <v>561</v>
      </c>
    </row>
    <row r="11" spans="1:9">
      <c r="A11">
        <v>205</v>
      </c>
      <c r="B11">
        <v>803</v>
      </c>
      <c r="C11">
        <v>492</v>
      </c>
      <c r="D11">
        <v>899</v>
      </c>
      <c r="E11">
        <v>586</v>
      </c>
      <c r="F11">
        <v>885</v>
      </c>
      <c r="G11">
        <v>556</v>
      </c>
      <c r="H11">
        <v>888</v>
      </c>
      <c r="I11">
        <v>560</v>
      </c>
    </row>
    <row r="12" spans="1:9">
      <c r="A12">
        <v>225</v>
      </c>
      <c r="B12">
        <v>800</v>
      </c>
      <c r="C12">
        <v>494</v>
      </c>
      <c r="D12">
        <v>894</v>
      </c>
      <c r="E12">
        <v>588</v>
      </c>
      <c r="F12">
        <v>883</v>
      </c>
      <c r="G12">
        <v>555</v>
      </c>
      <c r="H12">
        <v>886</v>
      </c>
      <c r="I12">
        <v>559</v>
      </c>
    </row>
    <row r="13" spans="1:9">
      <c r="A13">
        <v>245</v>
      </c>
      <c r="B13">
        <v>796</v>
      </c>
      <c r="C13">
        <v>496</v>
      </c>
      <c r="D13">
        <v>890</v>
      </c>
      <c r="E13">
        <v>591</v>
      </c>
      <c r="F13">
        <v>880</v>
      </c>
      <c r="G13">
        <v>554</v>
      </c>
      <c r="H13">
        <v>884</v>
      </c>
      <c r="I13">
        <v>558</v>
      </c>
    </row>
    <row r="14" spans="1:9">
      <c r="A14">
        <v>265</v>
      </c>
      <c r="B14">
        <v>793</v>
      </c>
      <c r="C14">
        <v>499</v>
      </c>
      <c r="D14">
        <v>887</v>
      </c>
      <c r="E14">
        <v>593</v>
      </c>
      <c r="F14">
        <v>878</v>
      </c>
      <c r="G14">
        <v>554</v>
      </c>
      <c r="H14">
        <v>881</v>
      </c>
      <c r="I14">
        <v>557</v>
      </c>
    </row>
    <row r="15" spans="1:9">
      <c r="A15">
        <v>285</v>
      </c>
      <c r="B15">
        <v>789</v>
      </c>
      <c r="C15">
        <v>502</v>
      </c>
      <c r="D15">
        <v>883</v>
      </c>
      <c r="E15">
        <v>596</v>
      </c>
      <c r="F15">
        <v>875</v>
      </c>
      <c r="G15">
        <v>553</v>
      </c>
      <c r="H15">
        <v>878</v>
      </c>
      <c r="I15">
        <v>556</v>
      </c>
    </row>
    <row r="16" spans="1:9">
      <c r="A16">
        <v>305</v>
      </c>
      <c r="B16">
        <v>785</v>
      </c>
      <c r="C16">
        <v>504</v>
      </c>
      <c r="D16">
        <v>879</v>
      </c>
      <c r="E16">
        <v>599</v>
      </c>
      <c r="F16">
        <v>871</v>
      </c>
      <c r="G16">
        <v>551</v>
      </c>
      <c r="H16">
        <v>875</v>
      </c>
      <c r="I16">
        <v>555</v>
      </c>
    </row>
    <row r="17" spans="1:9">
      <c r="A17">
        <v>325</v>
      </c>
      <c r="B17">
        <v>782</v>
      </c>
      <c r="C17">
        <v>507</v>
      </c>
      <c r="D17">
        <v>875</v>
      </c>
      <c r="E17">
        <v>601</v>
      </c>
      <c r="F17">
        <v>868</v>
      </c>
      <c r="G17">
        <v>550</v>
      </c>
      <c r="H17">
        <v>872</v>
      </c>
      <c r="I17">
        <v>554</v>
      </c>
    </row>
    <row r="18" spans="1:9">
      <c r="A18">
        <v>345</v>
      </c>
      <c r="B18">
        <v>778</v>
      </c>
      <c r="C18">
        <v>509</v>
      </c>
      <c r="D18">
        <v>872</v>
      </c>
      <c r="E18">
        <v>604</v>
      </c>
      <c r="F18">
        <v>864</v>
      </c>
      <c r="G18">
        <v>549</v>
      </c>
      <c r="H18">
        <v>868</v>
      </c>
      <c r="I18">
        <v>553</v>
      </c>
    </row>
    <row r="19" spans="1:9">
      <c r="A19">
        <v>365</v>
      </c>
      <c r="B19">
        <v>774</v>
      </c>
      <c r="C19">
        <v>512</v>
      </c>
      <c r="D19">
        <v>868</v>
      </c>
      <c r="E19">
        <v>606</v>
      </c>
      <c r="F19">
        <v>859</v>
      </c>
      <c r="G19">
        <v>548</v>
      </c>
      <c r="H19">
        <v>864</v>
      </c>
      <c r="I19">
        <v>552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E25" sqref="E25"/>
    </sheetView>
  </sheetViews>
  <sheetFormatPr defaultColWidth="9" defaultRowHeight="14.4" outlineLevelCol="5"/>
  <sheetData>
    <row r="1" spans="1:6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>
      <c r="A2">
        <v>25</v>
      </c>
      <c r="B2" s="7">
        <f>(L0!B2+L0!D2)/2</f>
        <v>884.5</v>
      </c>
      <c r="C2" s="7">
        <f>(L0!C2+L0!E2)/2</f>
        <v>518</v>
      </c>
      <c r="D2" s="7">
        <f>(L0!D2-L0!B2+L0!E2-L0!C2)/4</f>
        <v>48.75</v>
      </c>
      <c r="E2" s="7">
        <f>(L0!F2+L0!H2)/2</f>
        <v>894</v>
      </c>
      <c r="F2" s="7">
        <f>(L0!G2+L0!I2)/2</f>
        <v>554</v>
      </c>
    </row>
    <row r="3" spans="1:6">
      <c r="A3">
        <v>45</v>
      </c>
      <c r="B3" s="7">
        <f>(L0!B3+L0!D3)/2</f>
        <v>881</v>
      </c>
      <c r="C3" s="7">
        <f>(L0!C3+L0!E3)/2</f>
        <v>520</v>
      </c>
      <c r="D3" s="7">
        <f>(L0!D3-L0!B3+L0!E3-L0!C3)/4</f>
        <v>48</v>
      </c>
      <c r="E3" s="7">
        <f>(L0!F3+L0!H3)/2</f>
        <v>894.5</v>
      </c>
      <c r="F3" s="7">
        <f>(L0!G3+L0!I3)/2</f>
        <v>556</v>
      </c>
    </row>
    <row r="4" spans="1:6">
      <c r="A4">
        <v>65</v>
      </c>
      <c r="B4" s="7">
        <f>(L0!B4+L0!D4)/2</f>
        <v>877.5</v>
      </c>
      <c r="C4" s="7">
        <f>(L0!C4+L0!E4)/2</f>
        <v>522</v>
      </c>
      <c r="D4" s="7">
        <f>(L0!D4-L0!B4+L0!E4-L0!C4)/4</f>
        <v>48.25</v>
      </c>
      <c r="E4" s="7">
        <f>(L0!F4+L0!H4)/2</f>
        <v>893.5</v>
      </c>
      <c r="F4" s="7">
        <f>(L0!G4+L0!I4)/2</f>
        <v>557.5</v>
      </c>
    </row>
    <row r="5" spans="1:6">
      <c r="A5">
        <v>85</v>
      </c>
      <c r="B5" s="7">
        <f>(L0!B5+L0!D5)/2</f>
        <v>873</v>
      </c>
      <c r="C5" s="7">
        <f>(L0!C5+L0!E5)/2</f>
        <v>524.5</v>
      </c>
      <c r="D5" s="7">
        <f>(L0!D5-L0!B5+L0!E5-L0!C5)/4</f>
        <v>47.75</v>
      </c>
      <c r="E5" s="7">
        <f>(L0!F5+L0!H5)/2</f>
        <v>893</v>
      </c>
      <c r="F5" s="7">
        <f>(L0!G5+L0!I5)/2</f>
        <v>558.5</v>
      </c>
    </row>
    <row r="6" spans="1:6">
      <c r="A6">
        <v>105</v>
      </c>
      <c r="B6" s="7">
        <f>(L0!B6+L0!D6)/2</f>
        <v>869.5</v>
      </c>
      <c r="C6" s="7">
        <f>(L0!C6+L0!E6)/2</f>
        <v>526.5</v>
      </c>
      <c r="D6" s="7">
        <f>(L0!D6-L0!B6+L0!E6-L0!C6)/4</f>
        <v>47.5</v>
      </c>
      <c r="E6" s="7">
        <f>(L0!F6+L0!H6)/2</f>
        <v>892.5</v>
      </c>
      <c r="F6" s="7">
        <f>(L0!G6+L0!I6)/2</f>
        <v>559</v>
      </c>
    </row>
    <row r="7" spans="1:6">
      <c r="A7">
        <v>125</v>
      </c>
      <c r="B7" s="7">
        <f>(L0!B7+L0!D7)/2</f>
        <v>865.5</v>
      </c>
      <c r="C7" s="7">
        <f>(L0!C7+L0!E7)/2</f>
        <v>529</v>
      </c>
      <c r="D7" s="7">
        <f>(L0!D7-L0!B7+L0!E7-L0!C7)/4</f>
        <v>47.25</v>
      </c>
      <c r="E7" s="7">
        <f>(L0!F7+L0!H7)/2</f>
        <v>892</v>
      </c>
      <c r="F7" s="7">
        <f>(L0!G7+L0!I7)/2</f>
        <v>559</v>
      </c>
    </row>
    <row r="8" spans="1:6">
      <c r="A8">
        <v>145</v>
      </c>
      <c r="B8" s="7">
        <f>(L0!B8+L0!D8)/2</f>
        <v>862.5</v>
      </c>
      <c r="C8" s="7">
        <f>(L0!C8+L0!E8)/2</f>
        <v>531.5</v>
      </c>
      <c r="D8" s="7">
        <f>(L0!D8-L0!B8+L0!E8-L0!C8)/4</f>
        <v>47.5</v>
      </c>
      <c r="E8" s="7">
        <f>(L0!F8+L0!H8)/2</f>
        <v>891</v>
      </c>
      <c r="F8" s="7">
        <f>(L0!G8+L0!I8)/2</f>
        <v>559.5</v>
      </c>
    </row>
    <row r="9" spans="1:6">
      <c r="A9">
        <v>165</v>
      </c>
      <c r="B9" s="7">
        <f>(L0!B9+L0!D9)/2</f>
        <v>858.5</v>
      </c>
      <c r="C9" s="7">
        <f>(L0!C9+L0!E9)/2</f>
        <v>533.5</v>
      </c>
      <c r="D9" s="7">
        <f>(L0!D9-L0!B9+L0!E9-L0!C9)/4</f>
        <v>47.5</v>
      </c>
      <c r="E9" s="7">
        <f>(L0!F9+L0!H9)/2</f>
        <v>890</v>
      </c>
      <c r="F9" s="7">
        <f>(L0!G9+L0!I9)/2</f>
        <v>559.5</v>
      </c>
    </row>
    <row r="10" spans="1:6">
      <c r="A10">
        <v>185</v>
      </c>
      <c r="B10" s="7">
        <f>(L0!B10+L0!D10)/2</f>
        <v>854.5</v>
      </c>
      <c r="C10" s="7">
        <f>(L0!C10+L0!E10)/2</f>
        <v>536.5</v>
      </c>
      <c r="D10" s="7">
        <f>(L0!D10-L0!B10+L0!E10-L0!C10)/4</f>
        <v>47.5</v>
      </c>
      <c r="E10" s="7">
        <f>(L0!F10+L0!H10)/2</f>
        <v>888.5</v>
      </c>
      <c r="F10" s="7">
        <f>(L0!G10+L0!I10)/2</f>
        <v>559</v>
      </c>
    </row>
    <row r="11" spans="1:6">
      <c r="A11">
        <v>205</v>
      </c>
      <c r="B11" s="7">
        <f>(L0!B11+L0!D11)/2</f>
        <v>851</v>
      </c>
      <c r="C11" s="7">
        <f>(L0!C11+L0!E11)/2</f>
        <v>539</v>
      </c>
      <c r="D11" s="7">
        <f>(L0!D11-L0!B11+L0!E11-L0!C11)/4</f>
        <v>47.5</v>
      </c>
      <c r="E11" s="7">
        <f>(L0!F11+L0!H11)/2</f>
        <v>886.5</v>
      </c>
      <c r="F11" s="7">
        <f>(L0!G11+L0!I11)/2</f>
        <v>558</v>
      </c>
    </row>
    <row r="12" spans="1:6">
      <c r="A12">
        <v>225</v>
      </c>
      <c r="B12" s="7">
        <f>(L0!B12+L0!D12)/2</f>
        <v>847</v>
      </c>
      <c r="C12" s="7">
        <f>(L0!C12+L0!E12)/2</f>
        <v>541</v>
      </c>
      <c r="D12" s="7">
        <f>(L0!D12-L0!B12+L0!E12-L0!C12)/4</f>
        <v>47</v>
      </c>
      <c r="E12" s="7">
        <f>(L0!F12+L0!H12)/2</f>
        <v>884.5</v>
      </c>
      <c r="F12" s="7">
        <f>(L0!G12+L0!I12)/2</f>
        <v>557</v>
      </c>
    </row>
    <row r="13" spans="1:6">
      <c r="A13">
        <v>245</v>
      </c>
      <c r="B13" s="7">
        <f>(L0!B13+L0!D13)/2</f>
        <v>843</v>
      </c>
      <c r="C13" s="7">
        <f>(L0!C13+L0!E13)/2</f>
        <v>543.5</v>
      </c>
      <c r="D13" s="7">
        <f>(L0!D13-L0!B13+L0!E13-L0!C13)/4</f>
        <v>47.25</v>
      </c>
      <c r="E13" s="7">
        <f>(L0!F13+L0!H13)/2</f>
        <v>882</v>
      </c>
      <c r="F13" s="7">
        <f>(L0!G13+L0!I13)/2</f>
        <v>556</v>
      </c>
    </row>
    <row r="14" spans="1:6">
      <c r="A14">
        <v>265</v>
      </c>
      <c r="B14" s="7">
        <f>(L0!B14+L0!D14)/2</f>
        <v>840</v>
      </c>
      <c r="C14" s="7">
        <f>(L0!C14+L0!E14)/2</f>
        <v>546</v>
      </c>
      <c r="D14" s="7">
        <f>(L0!D14-L0!B14+L0!E14-L0!C14)/4</f>
        <v>47</v>
      </c>
      <c r="E14" s="7">
        <f>(L0!F14+L0!H14)/2</f>
        <v>879.5</v>
      </c>
      <c r="F14" s="7">
        <f>(L0!G14+L0!I14)/2</f>
        <v>555.5</v>
      </c>
    </row>
    <row r="15" spans="1:6">
      <c r="A15">
        <v>285</v>
      </c>
      <c r="B15" s="7">
        <f>(L0!B15+L0!D15)/2</f>
        <v>836</v>
      </c>
      <c r="C15" s="7">
        <f>(L0!C15+L0!E15)/2</f>
        <v>549</v>
      </c>
      <c r="D15" s="7">
        <f>(L0!D15-L0!B15+L0!E15-L0!C15)/4</f>
        <v>47</v>
      </c>
      <c r="E15" s="7">
        <f>(L0!F15+L0!H15)/2</f>
        <v>876.5</v>
      </c>
      <c r="F15" s="7">
        <f>(L0!G15+L0!I15)/2</f>
        <v>554.5</v>
      </c>
    </row>
    <row r="16" spans="1:6">
      <c r="A16">
        <v>305</v>
      </c>
      <c r="B16" s="7">
        <f>(L0!B16+L0!D16)/2</f>
        <v>832</v>
      </c>
      <c r="C16" s="7">
        <f>(L0!C16+L0!E16)/2</f>
        <v>551.5</v>
      </c>
      <c r="D16" s="7">
        <f>(L0!D16-L0!B16+L0!E16-L0!C16)/4</f>
        <v>47.25</v>
      </c>
      <c r="E16" s="7">
        <f>(L0!F16+L0!H16)/2</f>
        <v>873</v>
      </c>
      <c r="F16" s="7">
        <f>(L0!G16+L0!I16)/2</f>
        <v>553</v>
      </c>
    </row>
    <row r="17" spans="1:6">
      <c r="A17">
        <v>325</v>
      </c>
      <c r="B17" s="7">
        <f>(L0!B17+L0!D17)/2</f>
        <v>828.5</v>
      </c>
      <c r="C17" s="7">
        <f>(L0!C17+L0!E17)/2</f>
        <v>554</v>
      </c>
      <c r="D17" s="7">
        <f>(L0!D17-L0!B17+L0!E17-L0!C17)/4</f>
        <v>46.75</v>
      </c>
      <c r="E17" s="7">
        <f>(L0!F17+L0!H17)/2</f>
        <v>870</v>
      </c>
      <c r="F17" s="7">
        <f>(L0!G17+L0!I17)/2</f>
        <v>552</v>
      </c>
    </row>
    <row r="18" spans="1:6">
      <c r="A18">
        <v>345</v>
      </c>
      <c r="B18" s="7">
        <f>(L0!B18+L0!D18)/2</f>
        <v>825</v>
      </c>
      <c r="C18" s="7">
        <f>(L0!C18+L0!E18)/2</f>
        <v>556.5</v>
      </c>
      <c r="D18" s="7">
        <f>(L0!D18-L0!B18+L0!E18-L0!C18)/4</f>
        <v>47.25</v>
      </c>
      <c r="E18" s="7">
        <f>(L0!F18+L0!H18)/2</f>
        <v>866</v>
      </c>
      <c r="F18" s="7">
        <f>(L0!G18+L0!I18)/2</f>
        <v>551</v>
      </c>
    </row>
    <row r="19" spans="1:6">
      <c r="A19">
        <v>365</v>
      </c>
      <c r="B19" s="7">
        <f>(L0!B19+L0!D19)/2</f>
        <v>821</v>
      </c>
      <c r="C19" s="7">
        <f>(L0!C19+L0!E19)/2</f>
        <v>559</v>
      </c>
      <c r="D19" s="7">
        <f>(L0!D19-L0!B19+L0!E19-L0!C19)/4</f>
        <v>47</v>
      </c>
      <c r="E19" s="7">
        <f>(L0!F19+L0!H19)/2</f>
        <v>861.5</v>
      </c>
      <c r="F19" s="7">
        <f>(L0!G19+L0!I19)/2</f>
        <v>550</v>
      </c>
    </row>
    <row r="20" spans="1:6">
      <c r="D20" s="7">
        <f>AVERAGE(D2:D19)</f>
        <v>47.4444444444444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74" zoomScaleNormal="74" workbookViewId="0">
      <selection activeCell="I10" sqref="I10"/>
    </sheetView>
  </sheetViews>
  <sheetFormatPr defaultColWidth="9" defaultRowHeight="14.4"/>
  <cols>
    <col min="1" max="4" width="9" style="1"/>
    <col min="5" max="5" width="12.8888888888889" style="1"/>
    <col min="6" max="6" width="14.1111111111111" style="1"/>
    <col min="7" max="9" width="9" style="1"/>
    <col min="10" max="10" width="12.8888888888889" style="1"/>
    <col min="11" max="16384" width="9" style="1"/>
  </cols>
  <sheetData>
    <row r="1" spans="1:10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H1" s="2" t="s">
        <v>19</v>
      </c>
      <c r="I1" s="2" t="s">
        <v>20</v>
      </c>
      <c r="J1" s="2" t="s">
        <v>21</v>
      </c>
    </row>
    <row r="2" spans="1:10">
      <c r="A2" s="1">
        <v>25</v>
      </c>
      <c r="B2" s="5">
        <f>'L1'!E2-'L1'!B2</f>
        <v>9.5</v>
      </c>
      <c r="C2" s="5">
        <f>-('L1'!F2-'L1'!C2)</f>
        <v>-36</v>
      </c>
      <c r="D2" s="5">
        <f>SQRT(47.44*47.44-B2*B2-C2*C2)</f>
        <v>29.3990408006792</v>
      </c>
      <c r="E2" s="5">
        <f>COS(3.14/9*((A2-25)/20))*47.44</f>
        <v>47.44</v>
      </c>
      <c r="F2" s="5">
        <f>SIN(3.14/9*((A2-25)/20))*47.44</f>
        <v>0</v>
      </c>
      <c r="H2" s="5">
        <f>'L1'!E2-球心降噪!B2</f>
        <v>9.44152046783597</v>
      </c>
      <c r="I2" s="5">
        <f>-('L1'!F2-球心降噪!C2)</f>
        <v>-36.90350877193</v>
      </c>
      <c r="J2" s="8">
        <f>SQRT(47.44*47.44-H2*H2-I2*I2)</f>
        <v>28.2761795788526</v>
      </c>
    </row>
    <row r="3" spans="1:10">
      <c r="A3" s="1">
        <v>45</v>
      </c>
      <c r="B3" s="5">
        <f>'L1'!E3-'L1'!B3</f>
        <v>13.5</v>
      </c>
      <c r="C3" s="5">
        <f>-('L1'!F3-'L1'!C3)</f>
        <v>-36</v>
      </c>
      <c r="D3" s="5">
        <f t="shared" ref="D3:D19" si="0">SQRT(47.44*47.44-B3*B3-C3*C3)</f>
        <v>27.7903508434133</v>
      </c>
      <c r="E3" s="5">
        <f t="shared" ref="E3:E20" si="1">COS(3.14/9*((A3-25)/20))*47.44</f>
        <v>44.5818885096479</v>
      </c>
      <c r="F3" s="5">
        <f t="shared" ref="F3:F20" si="2">SIN(3.14/9*((A3-25)/20))*47.44</f>
        <v>16.2175465750319</v>
      </c>
      <c r="H3" s="5">
        <f>'L1'!E3-球心降噪!B3</f>
        <v>13.680426556588</v>
      </c>
      <c r="I3" s="5">
        <f>-('L1'!F3-球心降噪!C3)</f>
        <v>-36.463880288958</v>
      </c>
      <c r="J3" s="8">
        <f t="shared" ref="J3:J19" si="3">SQRT(47.44*47.44-H3*H3-I3*I3)</f>
        <v>27.0884655066016</v>
      </c>
    </row>
    <row r="4" spans="1:10">
      <c r="A4" s="1">
        <v>65</v>
      </c>
      <c r="B4" s="5">
        <f>'L1'!E4-'L1'!B4</f>
        <v>16</v>
      </c>
      <c r="C4" s="5">
        <f>-('L1'!F4-'L1'!C4)</f>
        <v>-35.5</v>
      </c>
      <c r="D4" s="5">
        <f t="shared" si="0"/>
        <v>27.0980368292613</v>
      </c>
      <c r="E4" s="5">
        <f t="shared" si="1"/>
        <v>36.3519385786961</v>
      </c>
      <c r="F4" s="5">
        <f t="shared" si="2"/>
        <v>30.4809803249618</v>
      </c>
      <c r="H4" s="5">
        <f>'L1'!E4-球心降噪!B4</f>
        <v>16.419332645339</v>
      </c>
      <c r="I4" s="5">
        <f>-('L1'!F4-球心降噪!C4)</f>
        <v>-35.524251805986</v>
      </c>
      <c r="J4" s="8">
        <f t="shared" si="3"/>
        <v>26.8139264022748</v>
      </c>
    </row>
    <row r="5" spans="1:10">
      <c r="A5" s="1">
        <v>85</v>
      </c>
      <c r="B5" s="5">
        <f>'L1'!E5-'L1'!B5</f>
        <v>20</v>
      </c>
      <c r="C5" s="5">
        <f>-('L1'!F5-'L1'!C5)</f>
        <v>-34</v>
      </c>
      <c r="D5" s="5">
        <f t="shared" si="0"/>
        <v>26.3543848344066</v>
      </c>
      <c r="E5" s="5">
        <f t="shared" si="1"/>
        <v>23.7418076465493</v>
      </c>
      <c r="F5" s="5">
        <f t="shared" si="2"/>
        <v>41.0716467855168</v>
      </c>
      <c r="H5" s="5">
        <f>'L1'!E5-球心降噪!B5</f>
        <v>19.65823873409</v>
      </c>
      <c r="I5" s="5">
        <f>-('L1'!F5-球心降噪!C5)</f>
        <v>-34.0846233230139</v>
      </c>
      <c r="J5" s="8">
        <f t="shared" si="3"/>
        <v>26.5018056517245</v>
      </c>
    </row>
    <row r="6" spans="1:10">
      <c r="A6" s="1">
        <v>105</v>
      </c>
      <c r="B6" s="5">
        <f>'L1'!E6-'L1'!B6</f>
        <v>23</v>
      </c>
      <c r="C6" s="5">
        <f>-('L1'!F6-'L1'!C6)</f>
        <v>-32.5</v>
      </c>
      <c r="D6" s="5">
        <f t="shared" si="0"/>
        <v>25.7934797962586</v>
      </c>
      <c r="E6" s="5">
        <f t="shared" si="1"/>
        <v>8.27093753917763</v>
      </c>
      <c r="F6" s="5">
        <f t="shared" si="2"/>
        <v>46.7134369557949</v>
      </c>
      <c r="H6" s="5">
        <f>'L1'!E6-球心降噪!B6</f>
        <v>22.897144822841</v>
      </c>
      <c r="I6" s="5">
        <f>-('L1'!F6-球心降噪!C6)</f>
        <v>-32.144994840041</v>
      </c>
      <c r="J6" s="8">
        <f t="shared" si="3"/>
        <v>26.3243929786725</v>
      </c>
    </row>
    <row r="7" spans="1:10">
      <c r="A7" s="1">
        <v>125</v>
      </c>
      <c r="B7" s="5">
        <f>'L1'!E7-'L1'!B7</f>
        <v>26.5</v>
      </c>
      <c r="C7" s="5">
        <f>-('L1'!F7-'L1'!C7)</f>
        <v>-30</v>
      </c>
      <c r="D7" s="5">
        <f t="shared" si="0"/>
        <v>25.461806691592</v>
      </c>
      <c r="E7" s="5">
        <f t="shared" si="1"/>
        <v>-8.19652875776856</v>
      </c>
      <c r="F7" s="5">
        <f t="shared" si="2"/>
        <v>46.7265504432231</v>
      </c>
      <c r="H7" s="5">
        <f>'L1'!E7-球心降噪!B7</f>
        <v>26.136050911593</v>
      </c>
      <c r="I7" s="5">
        <f>-('L1'!F7-球心降噪!C7)</f>
        <v>-29.705366357069</v>
      </c>
      <c r="J7" s="8">
        <f t="shared" si="3"/>
        <v>26.1734914052163</v>
      </c>
    </row>
    <row r="8" spans="1:10">
      <c r="A8" s="1">
        <v>145</v>
      </c>
      <c r="B8" s="5">
        <f>'L1'!E8-'L1'!B8</f>
        <v>28.5</v>
      </c>
      <c r="C8" s="5">
        <f>-('L1'!F8-'L1'!C8)</f>
        <v>-28</v>
      </c>
      <c r="D8" s="5">
        <f t="shared" si="0"/>
        <v>25.5793588660858</v>
      </c>
      <c r="E8" s="5">
        <f t="shared" si="1"/>
        <v>-23.6763646574306</v>
      </c>
      <c r="F8" s="5">
        <f t="shared" si="2"/>
        <v>41.1094071546692</v>
      </c>
      <c r="H8" s="5">
        <f>'L1'!E8-球心降噪!B8</f>
        <v>28.874957000344</v>
      </c>
      <c r="I8" s="5">
        <f>-('L1'!F8-球心降噪!C8)</f>
        <v>-27.765737874097</v>
      </c>
      <c r="J8" s="8">
        <f t="shared" si="3"/>
        <v>25.4136628319339</v>
      </c>
    </row>
    <row r="9" spans="1:10">
      <c r="A9" s="1">
        <v>165</v>
      </c>
      <c r="B9" s="5">
        <f>'L1'!E9-'L1'!B9</f>
        <v>31.5</v>
      </c>
      <c r="C9" s="5">
        <f>-('L1'!F9-'L1'!C9)</f>
        <v>-26</v>
      </c>
      <c r="D9" s="5">
        <f t="shared" si="0"/>
        <v>24.1309676556909</v>
      </c>
      <c r="E9" s="5">
        <f t="shared" si="1"/>
        <v>-36.3033468523216</v>
      </c>
      <c r="F9" s="5">
        <f t="shared" si="2"/>
        <v>30.5388376877712</v>
      </c>
      <c r="H9" s="5">
        <f>'L1'!E9-球心降噪!B9</f>
        <v>31.613863089095</v>
      </c>
      <c r="I9" s="5">
        <f>-('L1'!F9-球心降噪!C9)</f>
        <v>-25.326109391125</v>
      </c>
      <c r="J9" s="8">
        <f t="shared" si="3"/>
        <v>24.6922142322782</v>
      </c>
    </row>
    <row r="10" spans="1:10">
      <c r="A10" s="1">
        <v>185</v>
      </c>
      <c r="B10" s="5">
        <f>'L1'!E10-'L1'!B10</f>
        <v>34</v>
      </c>
      <c r="C10" s="5">
        <f>-('L1'!F10-'L1'!C10)</f>
        <v>-22.5</v>
      </c>
      <c r="D10" s="5">
        <f t="shared" si="0"/>
        <v>24.2549706245957</v>
      </c>
      <c r="E10" s="5">
        <f t="shared" si="1"/>
        <v>-44.5560030448154</v>
      </c>
      <c r="F10" s="5">
        <f t="shared" si="2"/>
        <v>16.2885294815216</v>
      </c>
      <c r="H10" s="5">
        <f>'L1'!E10-球心降噪!B10</f>
        <v>33.852769177847</v>
      </c>
      <c r="I10" s="5">
        <f>-('L1'!F10-球心降噪!C10)</f>
        <v>-22.386480908153</v>
      </c>
      <c r="J10" s="8">
        <f t="shared" si="3"/>
        <v>24.5639795542236</v>
      </c>
    </row>
    <row r="11" spans="1:10">
      <c r="A11" s="1">
        <v>205</v>
      </c>
      <c r="B11" s="5">
        <f>'L1'!E11-'L1'!B11</f>
        <v>35.5</v>
      </c>
      <c r="C11" s="5">
        <f>-('L1'!F11-'L1'!C11)</f>
        <v>-19</v>
      </c>
      <c r="D11" s="5">
        <f t="shared" si="0"/>
        <v>25.0859243401554</v>
      </c>
      <c r="E11" s="5">
        <f t="shared" si="1"/>
        <v>-47.4399398331545</v>
      </c>
      <c r="F11" s="5">
        <f t="shared" si="2"/>
        <v>0.0755554543581351</v>
      </c>
      <c r="H11" s="5">
        <f>'L1'!E11-球心降噪!B11</f>
        <v>35.591675266598</v>
      </c>
      <c r="I11" s="5">
        <f>-('L1'!F11-球心降噪!C11)</f>
        <v>-18.946852425181</v>
      </c>
      <c r="J11" s="8">
        <f t="shared" si="3"/>
        <v>24.996060387498</v>
      </c>
    </row>
    <row r="12" spans="1:10">
      <c r="A12" s="1">
        <v>225</v>
      </c>
      <c r="B12" s="5">
        <f>'L1'!E12-'L1'!B12</f>
        <v>37.5</v>
      </c>
      <c r="C12" s="5">
        <f>-('L1'!F12-'L1'!C12)</f>
        <v>-16</v>
      </c>
      <c r="D12" s="5">
        <f t="shared" si="0"/>
        <v>24.2549706245957</v>
      </c>
      <c r="E12" s="5">
        <f t="shared" si="1"/>
        <v>-44.6076608905174</v>
      </c>
      <c r="F12" s="5">
        <f t="shared" si="2"/>
        <v>-16.1465225320068</v>
      </c>
      <c r="H12" s="5">
        <f>'L1'!E12-球心降噪!B12</f>
        <v>37.330581355349</v>
      </c>
      <c r="I12" s="5">
        <f>-('L1'!F12-球心降噪!C12)</f>
        <v>-15.507223942209</v>
      </c>
      <c r="J12" s="8">
        <f t="shared" si="3"/>
        <v>24.8295650642103</v>
      </c>
    </row>
    <row r="13" spans="1:10">
      <c r="A13" s="1">
        <v>245</v>
      </c>
      <c r="B13" s="5">
        <f>'L1'!E13-'L1'!B13</f>
        <v>39</v>
      </c>
      <c r="C13" s="5">
        <f>-('L1'!F13-'L1'!C13)</f>
        <v>-12.5</v>
      </c>
      <c r="D13" s="5">
        <f t="shared" si="0"/>
        <v>23.9437591033655</v>
      </c>
      <c r="E13" s="5">
        <f t="shared" si="1"/>
        <v>-36.4004380967454</v>
      </c>
      <c r="F13" s="5">
        <f t="shared" si="2"/>
        <v>-30.4230456457766</v>
      </c>
      <c r="H13" s="5">
        <f>'L1'!E13-球心降噪!B13</f>
        <v>38.569487444101</v>
      </c>
      <c r="I13" s="5">
        <f>-('L1'!F13-球心降噪!C13)</f>
        <v>-12.067595459236</v>
      </c>
      <c r="J13" s="8">
        <f t="shared" si="3"/>
        <v>24.845952952776</v>
      </c>
    </row>
    <row r="14" spans="1:10">
      <c r="A14" s="1">
        <v>265</v>
      </c>
      <c r="B14" s="5">
        <f>'L1'!E14-'L1'!B14</f>
        <v>39.5</v>
      </c>
      <c r="C14" s="5">
        <f>-('L1'!F14-'L1'!C14)</f>
        <v>-9.5</v>
      </c>
      <c r="D14" s="5">
        <f t="shared" si="0"/>
        <v>24.4959915088163</v>
      </c>
      <c r="E14" s="5">
        <f t="shared" si="1"/>
        <v>-23.8071904135063</v>
      </c>
      <c r="F14" s="5">
        <f t="shared" si="2"/>
        <v>-41.0337822362874</v>
      </c>
      <c r="H14" s="5">
        <f>'L1'!E14-球心降噪!B14</f>
        <v>39.8083935328521</v>
      </c>
      <c r="I14" s="5">
        <f>-('L1'!F14-球心降噪!C14)</f>
        <v>-9.12796697626402</v>
      </c>
      <c r="J14" s="8">
        <f t="shared" si="3"/>
        <v>24.1355675966781</v>
      </c>
    </row>
    <row r="15" spans="1:10">
      <c r="A15" s="1">
        <v>285</v>
      </c>
      <c r="B15" s="5">
        <f>'L1'!E15-'L1'!B15</f>
        <v>40.5</v>
      </c>
      <c r="C15" s="5">
        <f>-('L1'!F15-'L1'!C15)</f>
        <v>-5.5</v>
      </c>
      <c r="D15" s="5">
        <f t="shared" si="0"/>
        <v>24.0843019413061</v>
      </c>
      <c r="E15" s="5">
        <f t="shared" si="1"/>
        <v>-8.3453253409821</v>
      </c>
      <c r="F15" s="5">
        <f t="shared" si="2"/>
        <v>-46.7002049776354</v>
      </c>
      <c r="H15" s="5">
        <f>'L1'!E15-球心降噪!B15</f>
        <v>40.547299621603</v>
      </c>
      <c r="I15" s="5">
        <f>-('L1'!F15-球心降噪!C15)</f>
        <v>-5.68833849329201</v>
      </c>
      <c r="J15" s="8">
        <f t="shared" si="3"/>
        <v>23.9606531334538</v>
      </c>
    </row>
    <row r="16" spans="1:10">
      <c r="A16" s="1">
        <v>305</v>
      </c>
      <c r="B16" s="5">
        <f>'L1'!E16-'L1'!B16</f>
        <v>41</v>
      </c>
      <c r="C16" s="5">
        <f>-('L1'!F16-'L1'!C16)</f>
        <v>-1.5</v>
      </c>
      <c r="D16" s="5">
        <f t="shared" si="0"/>
        <v>23.8181359472147</v>
      </c>
      <c r="E16" s="5">
        <f t="shared" si="1"/>
        <v>8.12209918549612</v>
      </c>
      <c r="F16" s="5">
        <f t="shared" si="2"/>
        <v>-46.7395454066571</v>
      </c>
      <c r="H16" s="5">
        <f>'L1'!E16-球心降噪!B16</f>
        <v>40.786205710354</v>
      </c>
      <c r="I16" s="5">
        <f>-('L1'!F16-球心降噪!C16)</f>
        <v>-1.74871001032</v>
      </c>
      <c r="J16" s="8">
        <f t="shared" si="3"/>
        <v>24.1656995978286</v>
      </c>
    </row>
    <row r="17" spans="1:10">
      <c r="A17" s="1">
        <v>325</v>
      </c>
      <c r="B17" s="5">
        <f>'L1'!E17-'L1'!B17</f>
        <v>41.5</v>
      </c>
      <c r="C17" s="5">
        <f>-('L1'!F17-'L1'!C17)</f>
        <v>2</v>
      </c>
      <c r="D17" s="5">
        <f t="shared" si="0"/>
        <v>22.8976767380448</v>
      </c>
      <c r="E17" s="5">
        <f t="shared" si="1"/>
        <v>23.6108616121494</v>
      </c>
      <c r="F17" s="5">
        <f t="shared" si="2"/>
        <v>-41.1470632479638</v>
      </c>
      <c r="H17" s="5">
        <f>'L1'!E17-球心降噪!B17</f>
        <v>41.525111799106</v>
      </c>
      <c r="I17" s="5">
        <f>-('L1'!F17-球心降噪!C17)</f>
        <v>1.69091847265202</v>
      </c>
      <c r="J17" s="8">
        <f t="shared" si="3"/>
        <v>22.877051488131</v>
      </c>
    </row>
    <row r="18" spans="1:10">
      <c r="A18" s="1">
        <v>345</v>
      </c>
      <c r="B18" s="5">
        <f>'L1'!E18-'L1'!B18</f>
        <v>41</v>
      </c>
      <c r="C18" s="5">
        <f>-('L1'!F18-'L1'!C18)</f>
        <v>5.5</v>
      </c>
      <c r="D18" s="5">
        <f t="shared" si="0"/>
        <v>23.2229111008934</v>
      </c>
      <c r="E18" s="5">
        <f t="shared" si="1"/>
        <v>36.254663040877</v>
      </c>
      <c r="F18" s="5">
        <f t="shared" si="2"/>
        <v>-30.5966175874469</v>
      </c>
      <c r="H18" s="5">
        <f>'L1'!E18-球心降噪!B18</f>
        <v>41.264017887857</v>
      </c>
      <c r="I18" s="5">
        <f>-('L1'!F18-球心降噪!C18)</f>
        <v>5.13054695562403</v>
      </c>
      <c r="J18" s="8">
        <f t="shared" si="3"/>
        <v>22.8366353845472</v>
      </c>
    </row>
    <row r="19" spans="1:10">
      <c r="A19" s="1">
        <v>365</v>
      </c>
      <c r="B19" s="5">
        <f>'L1'!E19-'L1'!B19</f>
        <v>40.5</v>
      </c>
      <c r="C19" s="5">
        <f>-('L1'!F19-'L1'!C19)</f>
        <v>9</v>
      </c>
      <c r="D19" s="5">
        <f t="shared" si="0"/>
        <v>23.0065990533151</v>
      </c>
      <c r="E19" s="5">
        <f t="shared" si="1"/>
        <v>44.5300045616798</v>
      </c>
      <c r="F19" s="5">
        <f t="shared" si="2"/>
        <v>-16.3594710714245</v>
      </c>
      <c r="H19" s="5">
        <f>'L1'!E19-球心降噪!B19</f>
        <v>40.502923976608</v>
      </c>
      <c r="I19" s="5">
        <f>-('L1'!F19-球心降噪!C19)</f>
        <v>8.57017543859604</v>
      </c>
      <c r="J19" s="8">
        <f t="shared" si="3"/>
        <v>23.1650349081713</v>
      </c>
    </row>
    <row r="20" spans="1:10">
      <c r="A20" s="1">
        <v>385</v>
      </c>
      <c r="E20" s="1">
        <f t="shared" si="1"/>
        <v>47.4397593327705</v>
      </c>
      <c r="F20" s="1">
        <f t="shared" si="2"/>
        <v>-0.151110717066466</v>
      </c>
    </row>
    <row r="21" spans="1:10">
      <c r="A21" s="2" t="s">
        <v>22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I10" sqref="I10"/>
    </sheetView>
  </sheetViews>
  <sheetFormatPr defaultColWidth="9" defaultRowHeight="14.4"/>
  <cols>
    <col min="1" max="1" width="4.87962962962963" customWidth="1"/>
    <col min="2" max="2" width="9.37962962962963" customWidth="1"/>
    <col min="3" max="3" width="9.12962962962963" customWidth="1"/>
  </cols>
  <sheetData>
    <row r="1" spans="1:10">
      <c r="A1" s="6" t="s">
        <v>0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3</v>
      </c>
      <c r="H1" s="6" t="s">
        <v>4</v>
      </c>
      <c r="I1" s="6" t="s">
        <v>5</v>
      </c>
      <c r="J1" s="6" t="s">
        <v>6</v>
      </c>
    </row>
    <row r="2" spans="1:10">
      <c r="A2">
        <v>0</v>
      </c>
      <c r="B2" s="7">
        <f>COS(A2*3.1416/9)*47.44</f>
        <v>47.44</v>
      </c>
      <c r="C2" s="7">
        <f>SIN(A2*3.1416/9)*47.44</f>
        <v>0</v>
      </c>
      <c r="D2" s="7">
        <f>COS(A2*3.1416/18+3.1416/30)*47.44</f>
        <v>47.1801175019494</v>
      </c>
      <c r="E2" s="7">
        <f>SIN(A2*3.1416/18+3.1416/30)*47.44</f>
        <v>4.95884185090085</v>
      </c>
      <c r="F2">
        <v>20</v>
      </c>
      <c r="G2" s="7">
        <f>D2*COS(-3.1416/30)-E2*SIN(-3.1416/30)</f>
        <v>47.44</v>
      </c>
      <c r="H2" s="7">
        <f>(D2*SIN(-3.1416/30)+E2*COS(-3.1416/30))*0.8</f>
        <v>0</v>
      </c>
      <c r="I2" s="7">
        <f>G2*COS(3.1416/30)-H2*SIN(3.1416/30)</f>
        <v>47.1801175019494</v>
      </c>
      <c r="J2" s="7">
        <f>G2*SIN(3.1416/30)+H2*COS(3.1416/30)</f>
        <v>4.95884185090085</v>
      </c>
    </row>
    <row r="3" spans="1:10">
      <c r="A3">
        <v>1</v>
      </c>
      <c r="B3" s="7">
        <f t="shared" ref="B3:B20" si="0">COS(A3*3.1416/9)*47.44</f>
        <v>44.579004685768</v>
      </c>
      <c r="C3" s="7">
        <f t="shared" ref="C3:C20" si="1">SIN(A3*3.1416/9)*47.44</f>
        <v>16.2254719877812</v>
      </c>
      <c r="D3" s="7">
        <f t="shared" ref="D3:D20" si="2">COS(A3*3.1416/18+3.1416/30)*47.44</f>
        <v>45.6022463163357</v>
      </c>
      <c r="E3" s="7">
        <f t="shared" ref="E3:E20" si="3">SIN(A3*3.1416/18+3.1416/30)*47.44</f>
        <v>13.0762659388775</v>
      </c>
      <c r="G3" s="7">
        <f t="shared" ref="G3:G20" si="4">D3*COS(-3.1416/30)-E3*SIN(-3.1416/30)</f>
        <v>46.7192764407414</v>
      </c>
      <c r="H3" s="7">
        <f t="shared" ref="H3:H20" si="5">(D3*SIN(-3.1416/30)+E3*COS(-3.1416/30))*0.8</f>
        <v>6.5903108929923</v>
      </c>
      <c r="I3" s="7">
        <f t="shared" ref="I3:I20" si="6">G3*COS(3.1416/30)-H3*SIN(3.1416/30)</f>
        <v>45.77446548511</v>
      </c>
      <c r="J3" s="7">
        <f t="shared" ref="J3:J20" si="7">G3*SIN(3.1416/30)+H3*COS(3.1416/30)</f>
        <v>11.4377138609593</v>
      </c>
    </row>
    <row r="4" spans="1:10">
      <c r="A4">
        <v>2</v>
      </c>
      <c r="B4" s="7">
        <f t="shared" si="0"/>
        <v>36.3410985992296</v>
      </c>
      <c r="C4" s="7">
        <f t="shared" si="1"/>
        <v>30.4939035317073</v>
      </c>
      <c r="D4" s="7">
        <f t="shared" si="2"/>
        <v>42.6387674884245</v>
      </c>
      <c r="E4" s="7">
        <f t="shared" si="3"/>
        <v>20.7963724497344</v>
      </c>
      <c r="G4" s="7">
        <f t="shared" si="4"/>
        <v>44.579004685768</v>
      </c>
      <c r="H4" s="7">
        <f t="shared" si="5"/>
        <v>12.980377590225</v>
      </c>
      <c r="I4" s="7">
        <f t="shared" si="6"/>
        <v>42.9779730092661</v>
      </c>
      <c r="J4" s="7">
        <f t="shared" si="7"/>
        <v>17.5690551018925</v>
      </c>
    </row>
    <row r="5" spans="1:10">
      <c r="A5">
        <v>3</v>
      </c>
      <c r="B5" s="7">
        <f t="shared" si="0"/>
        <v>23.7198993926896</v>
      </c>
      <c r="C5" s="7">
        <f t="shared" si="1"/>
        <v>41.0843032410273</v>
      </c>
      <c r="D5" s="7">
        <f t="shared" si="2"/>
        <v>38.3797252428634</v>
      </c>
      <c r="E5" s="7">
        <f t="shared" si="3"/>
        <v>27.8845887594261</v>
      </c>
      <c r="G5" s="7">
        <f t="shared" si="4"/>
        <v>41.0842161126946</v>
      </c>
      <c r="H5" s="7">
        <f t="shared" si="5"/>
        <v>18.9760402428815</v>
      </c>
      <c r="I5" s="7">
        <f t="shared" si="6"/>
        <v>38.8756104795876</v>
      </c>
      <c r="J5" s="7">
        <f t="shared" si="7"/>
        <v>23.1665670036247</v>
      </c>
    </row>
    <row r="6" spans="1:10">
      <c r="A6">
        <v>4</v>
      </c>
      <c r="B6" s="7">
        <f t="shared" si="0"/>
        <v>8.23771700670016</v>
      </c>
      <c r="C6" s="7">
        <f t="shared" si="1"/>
        <v>46.7193066998808</v>
      </c>
      <c r="D6" s="7">
        <f t="shared" si="2"/>
        <v>32.9545290267963</v>
      </c>
      <c r="E6" s="7">
        <f t="shared" si="3"/>
        <v>34.1255419974839</v>
      </c>
      <c r="G6" s="7">
        <f t="shared" si="4"/>
        <v>36.3410985992296</v>
      </c>
      <c r="H6" s="7">
        <f t="shared" si="5"/>
        <v>24.3951228253659</v>
      </c>
      <c r="I6" s="7">
        <f t="shared" si="6"/>
        <v>33.5920266871267</v>
      </c>
      <c r="J6" s="7">
        <f t="shared" si="7"/>
        <v>28.0601712060882</v>
      </c>
    </row>
    <row r="7" spans="1:10">
      <c r="A7">
        <v>5</v>
      </c>
      <c r="B7" s="7">
        <f t="shared" si="0"/>
        <v>-8.23806022566945</v>
      </c>
      <c r="C7" s="7">
        <f t="shared" si="1"/>
        <v>46.7192461809717</v>
      </c>
      <c r="D7" s="7">
        <f t="shared" si="2"/>
        <v>26.5280214509534</v>
      </c>
      <c r="E7" s="7">
        <f t="shared" si="3"/>
        <v>39.3296030732291</v>
      </c>
      <c r="G7" s="7">
        <f t="shared" si="4"/>
        <v>30.4937700431928</v>
      </c>
      <c r="H7" s="7">
        <f t="shared" si="5"/>
        <v>29.0729684874772</v>
      </c>
      <c r="I7" s="7">
        <f t="shared" si="6"/>
        <v>27.287761400709</v>
      </c>
      <c r="J7" s="7">
        <f t="shared" si="7"/>
        <v>32.1011773282373</v>
      </c>
    </row>
    <row r="8" spans="1:10">
      <c r="A8">
        <v>6</v>
      </c>
      <c r="B8" s="7">
        <f t="shared" si="0"/>
        <v>-23.7202012141941</v>
      </c>
      <c r="C8" s="7">
        <f t="shared" si="1"/>
        <v>41.0841289838076</v>
      </c>
      <c r="D8" s="7">
        <f t="shared" si="2"/>
        <v>19.2954696069731</v>
      </c>
      <c r="E8" s="7">
        <f t="shared" si="3"/>
        <v>43.338648486615</v>
      </c>
      <c r="G8" s="7">
        <f t="shared" si="4"/>
        <v>23.7198993926896</v>
      </c>
      <c r="H8" s="7">
        <f t="shared" si="5"/>
        <v>32.8674425928218</v>
      </c>
      <c r="I8" s="7">
        <f t="shared" si="6"/>
        <v>20.1543674245393</v>
      </c>
      <c r="J8" s="7">
        <f t="shared" si="7"/>
        <v>35.1668008711117</v>
      </c>
    </row>
    <row r="9" spans="1:10">
      <c r="A9">
        <v>7</v>
      </c>
      <c r="B9" s="7">
        <f t="shared" si="0"/>
        <v>-36.3413226189731</v>
      </c>
      <c r="C9" s="7">
        <f t="shared" si="1"/>
        <v>30.4936365542668</v>
      </c>
      <c r="D9" s="7">
        <f t="shared" si="2"/>
        <v>11.4766319479547</v>
      </c>
      <c r="E9" s="7">
        <f t="shared" si="3"/>
        <v>46.0308648531742</v>
      </c>
      <c r="G9" s="7">
        <f t="shared" si="4"/>
        <v>16.2253082398443</v>
      </c>
      <c r="H9" s="7">
        <f t="shared" si="5"/>
        <v>35.663251427963</v>
      </c>
      <c r="I9" s="7">
        <f t="shared" si="6"/>
        <v>12.4085903360248</v>
      </c>
      <c r="J9" s="7">
        <f t="shared" si="7"/>
        <v>37.1638939801089</v>
      </c>
    </row>
    <row r="10" spans="1:10">
      <c r="A10">
        <v>8</v>
      </c>
      <c r="B10" s="7">
        <f t="shared" si="0"/>
        <v>-44.5791238835381</v>
      </c>
      <c r="C10" s="7">
        <f t="shared" si="1"/>
        <v>16.2251444916884</v>
      </c>
      <c r="D10" s="7">
        <f t="shared" si="2"/>
        <v>3.30908100791483</v>
      </c>
      <c r="E10" s="7">
        <f t="shared" si="3"/>
        <v>47.3244501593316</v>
      </c>
      <c r="G10" s="7">
        <f t="shared" si="4"/>
        <v>8.23771700670016</v>
      </c>
      <c r="H10" s="7">
        <f t="shared" si="5"/>
        <v>37.3754453599046</v>
      </c>
      <c r="I10" s="7">
        <f t="shared" si="6"/>
        <v>4.28578275036188</v>
      </c>
      <c r="J10" s="7">
        <f t="shared" si="7"/>
        <v>38.0317757086149</v>
      </c>
    </row>
    <row r="11" spans="1:10">
      <c r="A11">
        <v>9</v>
      </c>
      <c r="B11" s="7">
        <f t="shared" si="0"/>
        <v>-47.4399999987198</v>
      </c>
      <c r="C11" s="7">
        <f t="shared" si="1"/>
        <v>-0.000348513700203172</v>
      </c>
      <c r="D11" s="7">
        <f t="shared" si="2"/>
        <v>-4.95901515311578</v>
      </c>
      <c r="E11" s="7">
        <f t="shared" si="3"/>
        <v>47.1800992867879</v>
      </c>
      <c r="G11" s="7">
        <f t="shared" si="4"/>
        <v>-0.000174256850099752</v>
      </c>
      <c r="H11" s="7">
        <f t="shared" si="5"/>
        <v>37.951999999744</v>
      </c>
      <c r="I11" s="7">
        <f t="shared" si="6"/>
        <v>-3.9672467829423</v>
      </c>
      <c r="J11" s="7">
        <f t="shared" si="7"/>
        <v>37.7440757864617</v>
      </c>
    </row>
    <row r="12" spans="1:10">
      <c r="A12">
        <v>10</v>
      </c>
      <c r="B12" s="7">
        <f t="shared" si="0"/>
        <v>-44.578885485592</v>
      </c>
      <c r="C12" s="7">
        <f t="shared" si="1"/>
        <v>-16.2257994829984</v>
      </c>
      <c r="D12" s="7">
        <f t="shared" si="2"/>
        <v>-13.0764334451932</v>
      </c>
      <c r="E12" s="7">
        <f t="shared" si="3"/>
        <v>45.6021982842213</v>
      </c>
      <c r="G12" s="7">
        <f t="shared" si="4"/>
        <v>-8.23806022566945</v>
      </c>
      <c r="H12" s="7">
        <f t="shared" si="5"/>
        <v>37.3753969447774</v>
      </c>
      <c r="I12" s="7">
        <f t="shared" si="6"/>
        <v>-12.0997329679388</v>
      </c>
      <c r="J12" s="7">
        <f t="shared" si="7"/>
        <v>36.3095358709803</v>
      </c>
    </row>
    <row r="13" spans="1:10">
      <c r="A13">
        <v>11</v>
      </c>
      <c r="B13" s="7">
        <f t="shared" si="0"/>
        <v>-36.3408745775248</v>
      </c>
      <c r="C13" s="7">
        <f t="shared" si="1"/>
        <v>-30.4941705075021</v>
      </c>
      <c r="D13" s="7">
        <f t="shared" si="2"/>
        <v>-20.7965290705324</v>
      </c>
      <c r="E13" s="7">
        <f t="shared" si="3"/>
        <v>42.6386910987955</v>
      </c>
      <c r="G13" s="7">
        <f t="shared" si="4"/>
        <v>-16.2256357354993</v>
      </c>
      <c r="H13" s="7">
        <f t="shared" si="5"/>
        <v>35.6631560687846</v>
      </c>
      <c r="I13" s="7">
        <f t="shared" si="6"/>
        <v>-19.8645731744052</v>
      </c>
      <c r="J13" s="7">
        <f t="shared" si="7"/>
        <v>33.7717439349273</v>
      </c>
    </row>
    <row r="14" spans="1:10">
      <c r="A14">
        <v>12</v>
      </c>
      <c r="B14" s="7">
        <f t="shared" si="0"/>
        <v>-23.7195975699048</v>
      </c>
      <c r="C14" s="7">
        <f t="shared" si="1"/>
        <v>-41.0844774960296</v>
      </c>
      <c r="D14" s="7">
        <f t="shared" si="2"/>
        <v>-27.8847297358406</v>
      </c>
      <c r="E14" s="7">
        <f t="shared" si="3"/>
        <v>38.3796228167908</v>
      </c>
      <c r="G14" s="7">
        <f t="shared" si="4"/>
        <v>-23.7202012141941</v>
      </c>
      <c r="H14" s="7">
        <f t="shared" si="5"/>
        <v>32.8673031870461</v>
      </c>
      <c r="I14" s="7">
        <f t="shared" si="6"/>
        <v>-27.0258355612507</v>
      </c>
      <c r="J14" s="7">
        <f t="shared" si="7"/>
        <v>30.2078098618107</v>
      </c>
    </row>
    <row r="15" spans="1:10">
      <c r="A15">
        <v>13</v>
      </c>
      <c r="B15" s="7">
        <f t="shared" si="0"/>
        <v>-8.23737378728626</v>
      </c>
      <c r="C15" s="7">
        <f t="shared" si="1"/>
        <v>-46.7193672162683</v>
      </c>
      <c r="D15" s="7">
        <f t="shared" si="2"/>
        <v>-34.1256630459979</v>
      </c>
      <c r="E15" s="7">
        <f t="shared" si="3"/>
        <v>32.954403676459</v>
      </c>
      <c r="G15" s="7">
        <f t="shared" si="4"/>
        <v>-30.4940370198104</v>
      </c>
      <c r="H15" s="7">
        <f t="shared" si="5"/>
        <v>29.0727892708979</v>
      </c>
      <c r="I15" s="7">
        <f t="shared" si="6"/>
        <v>-33.3659277795616</v>
      </c>
      <c r="J15" s="7">
        <f t="shared" si="7"/>
        <v>25.7260224901691</v>
      </c>
    </row>
    <row r="16" spans="1:10">
      <c r="A16">
        <v>14</v>
      </c>
      <c r="B16" s="7">
        <f t="shared" si="0"/>
        <v>8.23840344419414</v>
      </c>
      <c r="C16" s="7">
        <f t="shared" si="1"/>
        <v>-46.7191856595413</v>
      </c>
      <c r="D16" s="7">
        <f t="shared" si="2"/>
        <v>-39.3297005158276</v>
      </c>
      <c r="E16" s="7">
        <f t="shared" si="3"/>
        <v>26.5278769850757</v>
      </c>
      <c r="G16" s="7">
        <f t="shared" si="4"/>
        <v>-36.3413226189731</v>
      </c>
      <c r="H16" s="7">
        <f t="shared" si="5"/>
        <v>24.3949092434134</v>
      </c>
      <c r="I16" s="7">
        <f t="shared" si="6"/>
        <v>-38.6922084368585</v>
      </c>
      <c r="J16" s="7">
        <f t="shared" si="7"/>
        <v>20.4625592966607</v>
      </c>
    </row>
    <row r="17" spans="1:10">
      <c r="A17">
        <v>15</v>
      </c>
      <c r="B17" s="7">
        <f t="shared" si="0"/>
        <v>23.7205030344186</v>
      </c>
      <c r="C17" s="7">
        <f t="shared" si="1"/>
        <v>-41.0839547243707</v>
      </c>
      <c r="D17" s="7">
        <f t="shared" si="2"/>
        <v>-43.3387193625401</v>
      </c>
      <c r="E17" s="7">
        <f t="shared" si="3"/>
        <v>19.2953104150981</v>
      </c>
      <c r="G17" s="7">
        <f t="shared" si="4"/>
        <v>-41.0843903688056</v>
      </c>
      <c r="H17" s="7">
        <f t="shared" si="5"/>
        <v>18.9757987851658</v>
      </c>
      <c r="I17" s="7">
        <f t="shared" si="6"/>
        <v>-42.8428404356316</v>
      </c>
      <c r="J17" s="7">
        <f t="shared" si="7"/>
        <v>14.5773486930415</v>
      </c>
    </row>
    <row r="18" spans="1:10">
      <c r="A18">
        <v>16</v>
      </c>
      <c r="B18" s="7">
        <f t="shared" si="0"/>
        <v>36.3415466367552</v>
      </c>
      <c r="C18" s="7">
        <f t="shared" si="1"/>
        <v>-30.4933695751805</v>
      </c>
      <c r="D18" s="7">
        <f t="shared" si="2"/>
        <v>-46.0309070088867</v>
      </c>
      <c r="E18" s="7">
        <f t="shared" si="3"/>
        <v>11.4764628670696</v>
      </c>
      <c r="G18" s="7">
        <f t="shared" si="4"/>
        <v>-44.5791238835381</v>
      </c>
      <c r="H18" s="7">
        <f t="shared" si="5"/>
        <v>12.9801155933507</v>
      </c>
      <c r="I18" s="7">
        <f t="shared" si="6"/>
        <v>-45.6917083345937</v>
      </c>
      <c r="J18" s="7">
        <f t="shared" si="7"/>
        <v>8.24921065963301</v>
      </c>
    </row>
    <row r="19" spans="1:10">
      <c r="A19">
        <v>17</v>
      </c>
      <c r="B19" s="7">
        <f t="shared" si="0"/>
        <v>44.5792430789022</v>
      </c>
      <c r="C19" s="7">
        <f t="shared" si="1"/>
        <v>-16.2248169947199</v>
      </c>
      <c r="D19" s="7">
        <f t="shared" si="2"/>
        <v>-47.3244623139455</v>
      </c>
      <c r="E19" s="7">
        <f t="shared" si="3"/>
        <v>3.30890717548068</v>
      </c>
      <c r="G19" s="7">
        <f t="shared" si="4"/>
        <v>-46.7193369583897</v>
      </c>
      <c r="H19" s="7">
        <f t="shared" si="5"/>
        <v>6.59003631763904</v>
      </c>
      <c r="I19" s="7">
        <f t="shared" si="6"/>
        <v>-47.1522503204229</v>
      </c>
      <c r="J19" s="7">
        <f t="shared" si="7"/>
        <v>1.67042336536092</v>
      </c>
    </row>
    <row r="20" spans="1:10">
      <c r="A20">
        <v>18</v>
      </c>
      <c r="B20" s="7">
        <f t="shared" si="0"/>
        <v>47.4399999948794</v>
      </c>
      <c r="C20" s="7">
        <f t="shared" si="1"/>
        <v>0.000697027400387534</v>
      </c>
      <c r="D20" s="7">
        <f t="shared" si="2"/>
        <v>-47.1800810709899</v>
      </c>
      <c r="E20" s="7">
        <f t="shared" si="3"/>
        <v>-4.9591884552638</v>
      </c>
      <c r="G20" s="7">
        <f t="shared" si="4"/>
        <v>-47.4399999987198</v>
      </c>
      <c r="H20" s="7">
        <f t="shared" si="5"/>
        <v>-0.000278810960160314</v>
      </c>
      <c r="I20" s="7">
        <f t="shared" si="6"/>
        <v>-47.1800883569272</v>
      </c>
      <c r="J20" s="7">
        <f t="shared" si="7"/>
        <v>-4.95911913436445</v>
      </c>
    </row>
    <row r="21" spans="1:10">
      <c r="A21">
        <v>19</v>
      </c>
    </row>
    <row r="22" spans="1:10">
      <c r="A22">
        <v>20</v>
      </c>
    </row>
    <row r="23" spans="1:10">
      <c r="A23">
        <v>21</v>
      </c>
    </row>
    <row r="24" spans="1:10">
      <c r="A24">
        <v>22</v>
      </c>
    </row>
    <row r="25" spans="1:10">
      <c r="A25">
        <v>23</v>
      </c>
    </row>
    <row r="26" spans="1:10">
      <c r="A26">
        <v>24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C7" sqref="C7"/>
    </sheetView>
  </sheetViews>
  <sheetFormatPr defaultColWidth="9" defaultRowHeight="14.4"/>
  <cols>
    <col min="2" max="2" width="9.87962962962963" customWidth="1"/>
    <col min="3" max="3" width="10.1296296296296" customWidth="1"/>
    <col min="4" max="4" width="9.75" customWidth="1"/>
  </cols>
  <sheetData>
    <row r="1" spans="1:10">
      <c r="A1" s="6" t="s">
        <v>0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17</v>
      </c>
      <c r="J1" s="6" t="s">
        <v>18</v>
      </c>
    </row>
    <row r="2" spans="1:10">
      <c r="A2">
        <v>25</v>
      </c>
      <c r="B2" s="7">
        <f>'L2'!C2*'L2'!D3-'L2'!D2*'L2'!C3</f>
        <v>57.9128384615722</v>
      </c>
      <c r="C2" s="7">
        <f>'L2'!D2*'L2'!B3-'L2'!B2*'L2'!D3</f>
        <v>132.878717796743</v>
      </c>
      <c r="D2" s="7">
        <f>'L2'!B2*'L2'!C3-'L2'!C2*'L2'!B3</f>
        <v>144</v>
      </c>
      <c r="E2" s="7">
        <f>SQRT(B2*B2+C2*C2+D2*D2)</f>
        <v>204.319970883863</v>
      </c>
      <c r="F2" s="7">
        <f>B2/E2*47.44</f>
        <v>13.4464832034389</v>
      </c>
      <c r="G2" s="7">
        <f>C2/E2*47.44</f>
        <v>30.8524239946206</v>
      </c>
      <c r="H2" s="7">
        <f>-D2/E2*47.44</f>
        <v>-33.4346171372695</v>
      </c>
      <c r="I2">
        <f>COS(3.14/9*((A2-25)/20))*47.44</f>
        <v>47.44</v>
      </c>
      <c r="J2">
        <f>SIN(3.14/9*((A2-25)/20))*47.44</f>
        <v>0</v>
      </c>
    </row>
    <row r="3" spans="1:10">
      <c r="A3">
        <v>45</v>
      </c>
      <c r="B3" s="7">
        <f>'L2'!C3*'L2'!D4-'L2'!D3*'L2'!C4</f>
        <v>11.0281290877654</v>
      </c>
      <c r="C3" s="7">
        <f>'L2'!D3*'L2'!B4-'L2'!B3*'L2'!D4</f>
        <v>78.8221162995853</v>
      </c>
      <c r="D3" s="7">
        <f>'L2'!B3*'L2'!C4-'L2'!C3*'L2'!B4</f>
        <v>96.75</v>
      </c>
      <c r="E3" s="7">
        <f t="shared" ref="E3:E19" si="0">SQRT(B3*B3+C3*C3+D3*D3)</f>
        <v>125.280118730474</v>
      </c>
      <c r="F3" s="7">
        <f t="shared" ref="F3:F19" si="1">B3/E3*47.44</f>
        <v>4.17603726134023</v>
      </c>
      <c r="G3" s="7">
        <f t="shared" ref="G3:G19" si="2">C3/E3*47.44</f>
        <v>29.8476824187646</v>
      </c>
      <c r="H3" s="7">
        <f t="shared" ref="H3:H19" si="3">-D3/E3*47.44</f>
        <v>-36.6364595317351</v>
      </c>
      <c r="I3">
        <f t="shared" ref="I3:I20" si="4">COS(3.14/9*((A3-25)/20))*47.44</f>
        <v>44.5818885096479</v>
      </c>
      <c r="J3">
        <f t="shared" ref="J3:J20" si="5">SIN(3.14/9*((A3-25)/20))*47.44</f>
        <v>16.2175465750319</v>
      </c>
    </row>
    <row r="4" spans="1:10">
      <c r="A4">
        <v>65</v>
      </c>
      <c r="B4" s="7">
        <f>'L2'!C4*'L2'!D5-'L2'!D4*'L2'!C5</f>
        <v>-14.2474094265501</v>
      </c>
      <c r="C4" s="7">
        <f>'L2'!D4*'L2'!B5-'L2'!B4*'L2'!D5</f>
        <v>120.29057923472</v>
      </c>
      <c r="D4" s="7">
        <f>'L2'!B4*'L2'!C5-'L2'!C4*'L2'!B5</f>
        <v>166</v>
      </c>
      <c r="E4" s="7">
        <f t="shared" si="0"/>
        <v>205.496501498182</v>
      </c>
      <c r="F4" s="7">
        <f t="shared" si="1"/>
        <v>-3.28909299315501</v>
      </c>
      <c r="G4" s="7">
        <f t="shared" si="2"/>
        <v>27.7697432184539</v>
      </c>
      <c r="H4" s="7">
        <f t="shared" si="3"/>
        <v>-38.3220149374157</v>
      </c>
      <c r="I4">
        <f t="shared" si="4"/>
        <v>36.3519385786961</v>
      </c>
      <c r="J4">
        <f t="shared" si="5"/>
        <v>30.4809803249618</v>
      </c>
    </row>
    <row r="5" spans="1:10">
      <c r="A5">
        <v>85</v>
      </c>
      <c r="B5" s="7">
        <f>'L2'!C5*'L2'!D6-'L2'!D5*'L2'!C6</f>
        <v>-20.4608059545781</v>
      </c>
      <c r="C5" s="7">
        <f>'L2'!D5*'L2'!B6-'L2'!B5*'L2'!D6</f>
        <v>90.2812552661798</v>
      </c>
      <c r="D5" s="7">
        <f>'L2'!B5*'L2'!C6-'L2'!C5*'L2'!B6</f>
        <v>132</v>
      </c>
      <c r="E5" s="7">
        <f t="shared" si="0"/>
        <v>161.224531733691</v>
      </c>
      <c r="F5" s="7">
        <f t="shared" si="1"/>
        <v>-6.02055173643493</v>
      </c>
      <c r="G5" s="7">
        <f t="shared" si="2"/>
        <v>26.5650810318499</v>
      </c>
      <c r="H5" s="7">
        <f t="shared" si="3"/>
        <v>-38.8407392638214</v>
      </c>
      <c r="I5">
        <f t="shared" si="4"/>
        <v>23.7418076465493</v>
      </c>
      <c r="J5">
        <f t="shared" si="5"/>
        <v>41.0716467855168</v>
      </c>
    </row>
    <row r="6" spans="1:10">
      <c r="A6">
        <v>105</v>
      </c>
      <c r="B6" s="7">
        <f>'L2'!C6*'L2'!D7-'L2'!D6*'L2'!C7</f>
        <v>-53.704323588982</v>
      </c>
      <c r="C6" s="7">
        <f>'L2'!D6*'L2'!B7-'L2'!B6*'L2'!D7</f>
        <v>97.905660694237</v>
      </c>
      <c r="D6" s="7">
        <f>'L2'!B6*'L2'!C7-'L2'!C6*'L2'!B7</f>
        <v>171.25</v>
      </c>
      <c r="E6" s="7">
        <f t="shared" si="0"/>
        <v>204.441275842539</v>
      </c>
      <c r="F6" s="7">
        <f t="shared" si="1"/>
        <v>-12.4619311856749</v>
      </c>
      <c r="G6" s="7">
        <f t="shared" si="2"/>
        <v>22.7187221572219</v>
      </c>
      <c r="H6" s="7">
        <f t="shared" si="3"/>
        <v>-39.7380615363465</v>
      </c>
      <c r="I6">
        <f t="shared" si="4"/>
        <v>8.27093753917763</v>
      </c>
      <c r="J6">
        <f t="shared" si="5"/>
        <v>46.7134369557949</v>
      </c>
    </row>
    <row r="7" spans="1:10">
      <c r="A7">
        <v>125</v>
      </c>
      <c r="B7" s="7">
        <f>'L2'!C7*'L2'!D8-'L2'!D7*'L2'!C8</f>
        <v>-54.4501786179981</v>
      </c>
      <c r="C7" s="7">
        <f>'L2'!D7*'L2'!B8-'L2'!B7*'L2'!D8</f>
        <v>47.8084807590982</v>
      </c>
      <c r="D7" s="7">
        <f>'L2'!B7*'L2'!C8-'L2'!C7*'L2'!B8</f>
        <v>113</v>
      </c>
      <c r="E7" s="7">
        <f t="shared" si="0"/>
        <v>134.23662981476</v>
      </c>
      <c r="F7" s="7">
        <f t="shared" si="1"/>
        <v>-19.243007495066</v>
      </c>
      <c r="G7" s="7">
        <f t="shared" si="2"/>
        <v>16.8957931254784</v>
      </c>
      <c r="H7" s="7">
        <f t="shared" si="3"/>
        <v>-39.9348524124714</v>
      </c>
      <c r="I7">
        <f t="shared" si="4"/>
        <v>-8.19652875776856</v>
      </c>
      <c r="J7">
        <f t="shared" si="5"/>
        <v>46.7265504432231</v>
      </c>
    </row>
    <row r="8" spans="1:10">
      <c r="A8">
        <v>145</v>
      </c>
      <c r="B8" s="7">
        <f>'L2'!C8*'L2'!D9-'L2'!D8*'L2'!C9</f>
        <v>-10.6037638411143</v>
      </c>
      <c r="C8" s="7">
        <f>'L2'!D8*'L2'!B9-'L2'!B8*'L2'!D9</f>
        <v>118.017226094512</v>
      </c>
      <c r="D8" s="7">
        <f>'L2'!B8*'L2'!C9-'L2'!C8*'L2'!B9</f>
        <v>141</v>
      </c>
      <c r="E8" s="7">
        <f t="shared" si="0"/>
        <v>184.177917956093</v>
      </c>
      <c r="F8" s="7">
        <f t="shared" si="1"/>
        <v>-2.73128593375882</v>
      </c>
      <c r="G8" s="7">
        <f t="shared" si="2"/>
        <v>30.3985258822307</v>
      </c>
      <c r="H8" s="7">
        <f t="shared" si="3"/>
        <v>-36.3183603888639</v>
      </c>
      <c r="I8">
        <f t="shared" si="4"/>
        <v>-23.6763646574306</v>
      </c>
      <c r="J8">
        <f t="shared" si="5"/>
        <v>41.1094071546692</v>
      </c>
    </row>
    <row r="9" spans="1:10">
      <c r="A9">
        <v>165</v>
      </c>
      <c r="B9" s="7">
        <f>'L2'!C9*'L2'!D10-'L2'!D9*'L2'!C10</f>
        <v>-87.6824639864429</v>
      </c>
      <c r="C9" s="7">
        <f>'L2'!D9*'L2'!B10-'L2'!B9*'L2'!D10</f>
        <v>56.421325618726</v>
      </c>
      <c r="D9" s="7">
        <f>'L2'!B9*'L2'!C10-'L2'!C9*'L2'!B10</f>
        <v>175.25</v>
      </c>
      <c r="E9" s="7">
        <f t="shared" si="0"/>
        <v>203.921904108676</v>
      </c>
      <c r="F9" s="7">
        <f t="shared" si="1"/>
        <v>-20.3982799675117</v>
      </c>
      <c r="G9" s="7">
        <f t="shared" si="2"/>
        <v>13.1257487960975</v>
      </c>
      <c r="H9" s="7">
        <f t="shared" si="3"/>
        <v>-40.7698233122092</v>
      </c>
      <c r="I9">
        <f t="shared" si="4"/>
        <v>-36.3033468523216</v>
      </c>
      <c r="J9">
        <f t="shared" si="5"/>
        <v>30.5388376877712</v>
      </c>
    </row>
    <row r="10" spans="1:10">
      <c r="A10">
        <v>185</v>
      </c>
      <c r="B10" s="7">
        <f>'L2'!C10*'L2'!D11-'L2'!D10*'L2'!C11</f>
        <v>-103.588855786178</v>
      </c>
      <c r="C10" s="7">
        <f>'L2'!D10*'L2'!B11-'L2'!B10*'L2'!D11</f>
        <v>8.13002960786366</v>
      </c>
      <c r="D10" s="7">
        <f>'L2'!B10*'L2'!C11-'L2'!C10*'L2'!B11</f>
        <v>152.75</v>
      </c>
      <c r="E10" s="7">
        <f t="shared" si="0"/>
        <v>184.741199856757</v>
      </c>
      <c r="F10" s="7">
        <f t="shared" si="1"/>
        <v>-26.6007545815804</v>
      </c>
      <c r="G10" s="7">
        <f t="shared" si="2"/>
        <v>2.08772382606643</v>
      </c>
      <c r="H10" s="7">
        <f t="shared" si="3"/>
        <v>-39.2249265763061</v>
      </c>
      <c r="I10">
        <f t="shared" si="4"/>
        <v>-44.5560030448154</v>
      </c>
      <c r="J10">
        <f t="shared" si="5"/>
        <v>16.2885294815216</v>
      </c>
    </row>
    <row r="11" spans="1:10">
      <c r="A11">
        <v>205</v>
      </c>
      <c r="B11" s="7">
        <f>'L2'!C11*'L2'!D12-'L2'!D11*'L2'!C12</f>
        <v>-59.4696524248319</v>
      </c>
      <c r="C11" s="7">
        <f>'L2'!D11*'L2'!B12-'L2'!B11*'L2'!D12</f>
        <v>79.6707055826802</v>
      </c>
      <c r="D11" s="7">
        <f>'L2'!B11*'L2'!C12-'L2'!C11*'L2'!B12</f>
        <v>144.5</v>
      </c>
      <c r="E11" s="7">
        <f t="shared" si="0"/>
        <v>175.397579480369</v>
      </c>
      <c r="F11" s="7">
        <f t="shared" si="1"/>
        <v>-16.0848303573641</v>
      </c>
      <c r="G11" s="7">
        <f t="shared" si="2"/>
        <v>21.5486341604011</v>
      </c>
      <c r="H11" s="7">
        <f t="shared" si="3"/>
        <v>-39.0830935085238</v>
      </c>
      <c r="I11">
        <f t="shared" si="4"/>
        <v>-47.4399398331545</v>
      </c>
      <c r="J11">
        <f t="shared" si="5"/>
        <v>0.0755554543581351</v>
      </c>
    </row>
    <row r="12" spans="1:10">
      <c r="A12">
        <v>225</v>
      </c>
      <c r="B12" s="7">
        <f>'L2'!C12*'L2'!D13-'L2'!D12*'L2'!C13</f>
        <v>-79.9130128464018</v>
      </c>
      <c r="C12" s="7">
        <f>'L2'!D12*'L2'!B13-'L2'!B12*'L2'!D13</f>
        <v>48.052887983026</v>
      </c>
      <c r="D12" s="7">
        <f>'L2'!B12*'L2'!C13-'L2'!C12*'L2'!B13</f>
        <v>155.25</v>
      </c>
      <c r="E12" s="7">
        <f t="shared" si="0"/>
        <v>181.101441644451</v>
      </c>
      <c r="F12" s="7">
        <f t="shared" si="1"/>
        <v>-20.9334243560367</v>
      </c>
      <c r="G12" s="7">
        <f t="shared" si="2"/>
        <v>12.5875806686854</v>
      </c>
      <c r="H12" s="7">
        <f t="shared" si="3"/>
        <v>-40.6681467199998</v>
      </c>
      <c r="I12">
        <f t="shared" si="4"/>
        <v>-44.6076608905174</v>
      </c>
      <c r="J12">
        <f t="shared" si="5"/>
        <v>-16.1465225320068</v>
      </c>
    </row>
    <row r="13" spans="1:10">
      <c r="A13">
        <v>245</v>
      </c>
      <c r="B13" s="7">
        <f>'L2'!C13*'L2'!D14-'L2'!D13*'L2'!C14</f>
        <v>-78.7341823782315</v>
      </c>
      <c r="C13" s="7">
        <f>'L2'!D13*'L2'!B14-'L2'!B13*'L2'!D14</f>
        <v>-9.56518426089838</v>
      </c>
      <c r="D13" s="7">
        <f>'L2'!B13*'L2'!C14-'L2'!C13*'L2'!B14</f>
        <v>123.25</v>
      </c>
      <c r="E13" s="7">
        <f t="shared" si="0"/>
        <v>146.564411521739</v>
      </c>
      <c r="F13" s="7">
        <f t="shared" si="1"/>
        <v>-25.4846969550265</v>
      </c>
      <c r="G13" s="7">
        <f t="shared" si="2"/>
        <v>-3.09606088289526</v>
      </c>
      <c r="H13" s="7">
        <f t="shared" si="3"/>
        <v>-39.8935863030622</v>
      </c>
      <c r="I13">
        <f t="shared" si="4"/>
        <v>-36.4004380967454</v>
      </c>
      <c r="J13">
        <f t="shared" si="5"/>
        <v>-30.4230456457766</v>
      </c>
    </row>
    <row r="14" spans="1:10">
      <c r="A14">
        <v>265</v>
      </c>
      <c r="B14" s="7">
        <f>'L2'!C14*'L2'!D15-'L2'!D14*'L2'!C15</f>
        <v>-94.0729151439183</v>
      </c>
      <c r="C14" s="7">
        <f>'L2'!D14*'L2'!B15-'L2'!B14*'L2'!D15</f>
        <v>40.7577294254691</v>
      </c>
      <c r="D14" s="7">
        <f>'L2'!B14*'L2'!C15-'L2'!C14*'L2'!B15</f>
        <v>167.5</v>
      </c>
      <c r="E14" s="7">
        <f t="shared" si="0"/>
        <v>196.385223149795</v>
      </c>
      <c r="F14" s="7">
        <f t="shared" si="1"/>
        <v>-22.7248212612383</v>
      </c>
      <c r="G14" s="7">
        <f t="shared" si="2"/>
        <v>9.84568315748187</v>
      </c>
      <c r="H14" s="7">
        <f t="shared" si="3"/>
        <v>-40.4623111278539</v>
      </c>
      <c r="I14">
        <f t="shared" si="4"/>
        <v>-23.8071904135063</v>
      </c>
      <c r="J14">
        <f t="shared" si="5"/>
        <v>-41.0337822362874</v>
      </c>
    </row>
    <row r="15" spans="1:10">
      <c r="A15">
        <v>285</v>
      </c>
      <c r="B15" s="7">
        <f>'L2'!C15*'L2'!D16-'L2'!D15*'L2'!C16</f>
        <v>-94.8732947977217</v>
      </c>
      <c r="C15" s="7">
        <f>'L2'!D15*'L2'!B16-'L2'!B15*'L2'!D16</f>
        <v>22.8218737313549</v>
      </c>
      <c r="D15" s="7">
        <f>'L2'!B15*'L2'!C16-'L2'!C15*'L2'!B16</f>
        <v>164.75</v>
      </c>
      <c r="E15" s="7">
        <f t="shared" si="0"/>
        <v>191.479352637263</v>
      </c>
      <c r="F15" s="7">
        <f t="shared" si="1"/>
        <v>-23.50534949703</v>
      </c>
      <c r="G15" s="7">
        <f t="shared" si="2"/>
        <v>5.65423725797986</v>
      </c>
      <c r="H15" s="7">
        <f t="shared" si="3"/>
        <v>-40.8176646325209</v>
      </c>
      <c r="I15">
        <f t="shared" si="4"/>
        <v>-8.3453253409821</v>
      </c>
      <c r="J15">
        <f t="shared" si="5"/>
        <v>-46.7002049776354</v>
      </c>
    </row>
    <row r="16" spans="1:10">
      <c r="A16">
        <v>305</v>
      </c>
      <c r="B16" s="7">
        <f>'L2'!C16*'L2'!D17-'L2'!D16*'L2'!C17</f>
        <v>-81.9827870014967</v>
      </c>
      <c r="C16" s="7">
        <f>'L2'!D16*'L2'!B17-'L2'!B16*'L2'!D17</f>
        <v>49.6478955495716</v>
      </c>
      <c r="D16" s="7">
        <f>'L2'!B16*'L2'!C17-'L2'!C16*'L2'!B17</f>
        <v>144.25</v>
      </c>
      <c r="E16" s="7">
        <f t="shared" si="0"/>
        <v>173.188202245517</v>
      </c>
      <c r="F16" s="7">
        <f t="shared" si="1"/>
        <v>-22.4568611771688</v>
      </c>
      <c r="G16" s="7">
        <f t="shared" si="2"/>
        <v>13.5996340070136</v>
      </c>
      <c r="H16" s="7">
        <f t="shared" si="3"/>
        <v>-39.5131995786806</v>
      </c>
      <c r="I16">
        <f t="shared" si="4"/>
        <v>8.12209918549612</v>
      </c>
      <c r="J16">
        <f t="shared" si="5"/>
        <v>-46.7395454066571</v>
      </c>
    </row>
    <row r="17" spans="1:10">
      <c r="A17">
        <v>325</v>
      </c>
      <c r="B17" s="7">
        <f>'L2'!C17*'L2'!D18-'L2'!D17*'L2'!C18</f>
        <v>-79.4913998574598</v>
      </c>
      <c r="C17" s="7">
        <f>'L2'!D17*'L2'!B18-'L2'!B17*'L2'!D18</f>
        <v>-24.9460644272376</v>
      </c>
      <c r="D17" s="7">
        <f>'L2'!B17*'L2'!C18-'L2'!C17*'L2'!B18</f>
        <v>146.25</v>
      </c>
      <c r="E17" s="7">
        <f t="shared" si="0"/>
        <v>168.315926999516</v>
      </c>
      <c r="F17" s="7">
        <f t="shared" si="1"/>
        <v>-22.404724713002</v>
      </c>
      <c r="G17" s="7">
        <f t="shared" si="2"/>
        <v>-7.03107137586305</v>
      </c>
      <c r="H17" s="7">
        <f t="shared" si="3"/>
        <v>-41.2206980271091</v>
      </c>
      <c r="I17">
        <f t="shared" si="4"/>
        <v>23.6108616121494</v>
      </c>
      <c r="J17">
        <f t="shared" si="5"/>
        <v>-41.1470632479638</v>
      </c>
    </row>
    <row r="18" spans="1:10">
      <c r="A18">
        <v>345</v>
      </c>
      <c r="B18" s="7">
        <f>'L2'!C18*'L2'!D19-'L2'!D18*'L2'!C19</f>
        <v>-82.4699051148075</v>
      </c>
      <c r="C18" s="7">
        <f>'L2'!D18*'L2'!B19-'L2'!B18*'L2'!D19</f>
        <v>-2.74266159973683</v>
      </c>
      <c r="D18" s="7">
        <f>'L2'!B18*'L2'!C19-'L2'!C18*'L2'!B19</f>
        <v>146.25</v>
      </c>
      <c r="E18" s="7">
        <f t="shared" si="0"/>
        <v>167.92221396318</v>
      </c>
      <c r="F18" s="7">
        <f t="shared" si="1"/>
        <v>-23.2987179379634</v>
      </c>
      <c r="G18" s="7">
        <f t="shared" si="2"/>
        <v>-0.774834152198856</v>
      </c>
      <c r="H18" s="7">
        <f t="shared" si="3"/>
        <v>-41.3173447172469</v>
      </c>
      <c r="I18">
        <f t="shared" si="4"/>
        <v>36.254663040877</v>
      </c>
      <c r="J18">
        <f t="shared" si="5"/>
        <v>-30.5966175874469</v>
      </c>
    </row>
    <row r="19" spans="1:10">
      <c r="A19">
        <v>365</v>
      </c>
      <c r="B19" s="7">
        <f>-('L2'!C19*'L2'!D2-'L2'!D19*'L2'!C2)</f>
        <v>-1092.82893312546</v>
      </c>
      <c r="C19" s="7">
        <f>-('L2'!D19*'L2'!B2-'L2'!B19*'L2'!D2)</f>
        <v>972.098461421014</v>
      </c>
      <c r="D19" s="7">
        <f>-('L2'!B19*'L2'!C2-'L2'!C19*'L2'!B2)</f>
        <v>1543.5</v>
      </c>
      <c r="E19" s="7">
        <f t="shared" si="0"/>
        <v>2126.41546875798</v>
      </c>
      <c r="F19" s="7">
        <f t="shared" si="1"/>
        <v>-24.3808443595236</v>
      </c>
      <c r="G19" s="7">
        <f t="shared" si="2"/>
        <v>21.687366221404</v>
      </c>
      <c r="H19" s="7">
        <f t="shared" si="3"/>
        <v>-34.435246110568</v>
      </c>
      <c r="I19">
        <f t="shared" si="4"/>
        <v>44.5300045616798</v>
      </c>
      <c r="J19">
        <f t="shared" si="5"/>
        <v>-16.3594710714245</v>
      </c>
    </row>
    <row r="20" spans="1:10">
      <c r="A20">
        <v>385</v>
      </c>
      <c r="I20">
        <f t="shared" si="4"/>
        <v>47.4397593327705</v>
      </c>
      <c r="J20">
        <f t="shared" si="5"/>
        <v>-0.151110717066466</v>
      </c>
    </row>
    <row r="21" spans="1:10">
      <c r="A21" s="6" t="s">
        <v>22</v>
      </c>
    </row>
    <row r="22" spans="1:10">
      <c r="A22">
        <f>SQRT(F19*F19+G19*G19)/47.44</f>
        <v>0.687832508565173</v>
      </c>
      <c r="B22">
        <f>SQRT(F19*F19+G19*G19)</f>
        <v>32.6307742063318</v>
      </c>
      <c r="C22">
        <f>G19/B22</f>
        <v>0.664629226516965</v>
      </c>
      <c r="D22">
        <f>F19/B22</f>
        <v>-0.747173334146409</v>
      </c>
    </row>
  </sheetData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B2" sqref="B2"/>
    </sheetView>
  </sheetViews>
  <sheetFormatPr defaultColWidth="9" defaultRowHeight="14.4"/>
  <cols>
    <col min="2" max="2" width="9.87962962962963" customWidth="1"/>
    <col min="3" max="3" width="10.1296296296296" customWidth="1"/>
    <col min="4" max="4" width="9.75" customWidth="1"/>
  </cols>
  <sheetData>
    <row r="1" spans="1:10">
      <c r="A1" s="6" t="s">
        <v>0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17</v>
      </c>
      <c r="J1" s="6" t="s">
        <v>18</v>
      </c>
    </row>
    <row r="2" spans="1:10">
      <c r="A2">
        <v>25</v>
      </c>
      <c r="B2" s="7">
        <f>'L2'!C2*'L2'!D4-'L2'!D2*'L2'!C4</f>
        <v>68.1366225707045</v>
      </c>
      <c r="C2" s="7">
        <f>'L2'!D2*'L2'!B4-'L2'!B2*'L2'!D4</f>
        <v>212.953302932885</v>
      </c>
      <c r="D2" s="7">
        <f>'L2'!B2*'L2'!C4-'L2'!C2*'L2'!B4</f>
        <v>238.75</v>
      </c>
      <c r="E2" s="7">
        <f>SQRT(B2*B2+C2*C2+D2*D2)</f>
        <v>327.098259037506</v>
      </c>
      <c r="F2" s="7">
        <f>B2/E2*47.44</f>
        <v>9.88205007347221</v>
      </c>
      <c r="G2" s="7">
        <f>C2/E2*47.44</f>
        <v>30.8852291689442</v>
      </c>
      <c r="H2" s="7">
        <f>-D2/E2*47.44</f>
        <v>-34.6265982378747</v>
      </c>
      <c r="I2">
        <f>COS(3.14/9*((A2-25)/20))*47.44</f>
        <v>47.44</v>
      </c>
      <c r="J2">
        <f>SIN(3.14/9*((A2-25)/20))*47.44</f>
        <v>0</v>
      </c>
    </row>
    <row r="3" spans="1:10">
      <c r="A3">
        <v>45</v>
      </c>
      <c r="B3" s="7">
        <f>'L2'!C3*'L2'!D5-'L2'!D3*'L2'!C5</f>
        <v>-3.88592536258534</v>
      </c>
      <c r="C3" s="7">
        <f>'L2'!D3*'L2'!B5-'L2'!B3*'L2'!D5</f>
        <v>200.022821603777</v>
      </c>
      <c r="D3" s="7">
        <f>'L2'!B3*'L2'!C5-'L2'!C3*'L2'!B5</f>
        <v>261</v>
      </c>
      <c r="E3" s="7">
        <f t="shared" ref="E3:E19" si="0">SQRT(B3*B3+C3*C3+D3*D3)</f>
        <v>328.85442003759</v>
      </c>
      <c r="F3" s="7">
        <f t="shared" ref="F3:F19" si="1">B3/E3*47.44</f>
        <v>-0.560577228002519</v>
      </c>
      <c r="G3" s="7">
        <f t="shared" ref="G3:G19" si="2">C3/E3*47.44</f>
        <v>28.8549646247677</v>
      </c>
      <c r="H3" s="7">
        <f t="shared" ref="H3:H19" si="3">-D3/E3*47.44</f>
        <v>-37.6514325049506</v>
      </c>
      <c r="I3" s="7">
        <f t="shared" ref="I3:I19" si="4">COS(3.14/9*((A3-25)/20))*47.44</f>
        <v>44.5818885096479</v>
      </c>
      <c r="J3" s="7">
        <f t="shared" ref="J3:J19" si="5">SIN(3.14/9*((A3-25)/20))*47.44</f>
        <v>16.2175465750319</v>
      </c>
    </row>
    <row r="4" spans="1:10">
      <c r="A4">
        <v>65</v>
      </c>
      <c r="B4" s="7">
        <f>'L2'!C4*'L2'!D6-'L2'!D4*'L2'!C6</f>
        <v>-34.9823358161882</v>
      </c>
      <c r="C4" s="7">
        <f>'L2'!D4*'L2'!B6-'L2'!B4*'L2'!D6</f>
        <v>210.559170332872</v>
      </c>
      <c r="D4" s="7">
        <f>'L2'!B4*'L2'!C6-'L2'!C4*'L2'!B6</f>
        <v>296.5</v>
      </c>
      <c r="E4" s="7">
        <f t="shared" si="0"/>
        <v>365.337074535865</v>
      </c>
      <c r="F4" s="7">
        <f t="shared" si="1"/>
        <v>-4.54255022769952</v>
      </c>
      <c r="G4" s="7">
        <f t="shared" si="2"/>
        <v>27.3416735853641</v>
      </c>
      <c r="H4" s="7">
        <f t="shared" si="3"/>
        <v>-38.5013210550005</v>
      </c>
      <c r="I4" s="7">
        <f t="shared" si="4"/>
        <v>36.3519385786961</v>
      </c>
      <c r="J4" s="7">
        <f t="shared" si="5"/>
        <v>30.4809803249618</v>
      </c>
    </row>
    <row r="5" spans="1:10">
      <c r="A5">
        <v>85</v>
      </c>
      <c r="B5" s="7">
        <f>'L2'!C5*'L2'!D7-'L2'!D5*'L2'!C7</f>
        <v>-75.06988248193</v>
      </c>
      <c r="C5" s="7">
        <f>'L2'!D5*'L2'!B7-'L2'!B5*'L2'!D7</f>
        <v>189.155064279935</v>
      </c>
      <c r="D5" s="7">
        <f>'L2'!B5*'L2'!C7-'L2'!C5*'L2'!B7</f>
        <v>301</v>
      </c>
      <c r="E5" s="7">
        <f t="shared" si="0"/>
        <v>363.340233938656</v>
      </c>
      <c r="F5" s="7">
        <f t="shared" si="1"/>
        <v>-9.801598865993</v>
      </c>
      <c r="G5" s="7">
        <f t="shared" si="2"/>
        <v>24.6972820823227</v>
      </c>
      <c r="H5" s="7">
        <f t="shared" si="3"/>
        <v>-39.3004645954262</v>
      </c>
      <c r="I5" s="7">
        <f t="shared" si="4"/>
        <v>23.7418076465493</v>
      </c>
      <c r="J5" s="7">
        <f t="shared" si="5"/>
        <v>41.0716467855168</v>
      </c>
    </row>
    <row r="6" spans="1:10">
      <c r="A6">
        <v>105</v>
      </c>
      <c r="B6" s="7">
        <f>'L2'!C6*'L2'!D8-'L2'!D6*'L2'!C8</f>
        <v>-109.111728852548</v>
      </c>
      <c r="C6" s="7">
        <f>'L2'!D6*'L2'!B8-'L2'!B6*'L2'!D8</f>
        <v>146.788920273397</v>
      </c>
      <c r="D6" s="7">
        <f>'L2'!B6*'L2'!C8-'L2'!C6*'L2'!B8</f>
        <v>282.25</v>
      </c>
      <c r="E6" s="7">
        <f t="shared" si="0"/>
        <v>336.329331144671</v>
      </c>
      <c r="F6" s="7">
        <f t="shared" si="1"/>
        <v>-15.3904519690503</v>
      </c>
      <c r="G6" s="7">
        <f t="shared" si="2"/>
        <v>20.7049035957395</v>
      </c>
      <c r="H6" s="7">
        <f t="shared" si="3"/>
        <v>-39.8119900944363</v>
      </c>
      <c r="I6" s="7">
        <f t="shared" si="4"/>
        <v>8.27093753917763</v>
      </c>
      <c r="J6" s="7">
        <f t="shared" si="5"/>
        <v>46.7134369557949</v>
      </c>
    </row>
    <row r="7" spans="1:10">
      <c r="A7">
        <v>125</v>
      </c>
      <c r="B7" s="7">
        <f>'L2'!C7*'L2'!D9-'L2'!D7*'L2'!C9</f>
        <v>-61.922055689335</v>
      </c>
      <c r="C7" s="7">
        <f>'L2'!D7*'L2'!B9-'L2'!B7*'L2'!D9</f>
        <v>162.576267909339</v>
      </c>
      <c r="D7" s="7">
        <f>'L2'!B7*'L2'!C9-'L2'!C7*'L2'!B9</f>
        <v>256</v>
      </c>
      <c r="E7" s="7">
        <f t="shared" si="0"/>
        <v>309.517986340249</v>
      </c>
      <c r="F7" s="7">
        <f t="shared" si="1"/>
        <v>-9.49082913285954</v>
      </c>
      <c r="G7" s="7">
        <f t="shared" si="2"/>
        <v>24.918158200799</v>
      </c>
      <c r="H7" s="7">
        <f t="shared" si="3"/>
        <v>-39.2372674156958</v>
      </c>
      <c r="I7" s="7">
        <f t="shared" si="4"/>
        <v>-8.19652875776856</v>
      </c>
      <c r="J7" s="7">
        <f t="shared" si="5"/>
        <v>46.7265504432231</v>
      </c>
    </row>
    <row r="8" spans="1:10">
      <c r="A8">
        <v>145</v>
      </c>
      <c r="B8" s="7">
        <f>'L2'!C8*'L2'!D10-'L2'!D8*'L2'!C10</f>
        <v>-103.603603001749</v>
      </c>
      <c r="C8" s="7">
        <f>'L2'!D8*'L2'!B10-'L2'!B8*'L2'!D10</f>
        <v>178.43153864594</v>
      </c>
      <c r="D8" s="7">
        <f>'L2'!B8*'L2'!C10-'L2'!C8*'L2'!B10</f>
        <v>310.75</v>
      </c>
      <c r="E8" s="7">
        <f t="shared" si="0"/>
        <v>373.010835014885</v>
      </c>
      <c r="F8" s="7">
        <f t="shared" si="1"/>
        <v>-13.17644010584</v>
      </c>
      <c r="G8" s="7">
        <f t="shared" si="2"/>
        <v>22.6931536533667</v>
      </c>
      <c r="H8" s="7">
        <f t="shared" si="3"/>
        <v>-39.5215865496554</v>
      </c>
      <c r="I8" s="7">
        <f t="shared" si="4"/>
        <v>-23.6763646574306</v>
      </c>
      <c r="J8" s="7">
        <f t="shared" si="5"/>
        <v>41.1094071546692</v>
      </c>
    </row>
    <row r="9" spans="1:10">
      <c r="A9">
        <v>165</v>
      </c>
      <c r="B9" s="7">
        <f>'L2'!C9*'L2'!D11-'L2'!D9*'L2'!C11</f>
        <v>-193.745647385913</v>
      </c>
      <c r="C9" s="7">
        <f>'L2'!D9*'L2'!B11-'L2'!B9*'L2'!D11</f>
        <v>66.4427350621318</v>
      </c>
      <c r="D9" s="7">
        <f>'L2'!B9*'L2'!C11-'L2'!C9*'L2'!B11</f>
        <v>324.5</v>
      </c>
      <c r="E9" s="7">
        <f t="shared" si="0"/>
        <v>383.734625651013</v>
      </c>
      <c r="F9" s="7">
        <f t="shared" si="1"/>
        <v>-23.9522130597272</v>
      </c>
      <c r="G9" s="7">
        <f t="shared" si="2"/>
        <v>8.21412283554039</v>
      </c>
      <c r="H9" s="7">
        <f t="shared" si="3"/>
        <v>-40.1169948473722</v>
      </c>
      <c r="I9" s="7">
        <f t="shared" si="4"/>
        <v>-36.3033468523216</v>
      </c>
      <c r="J9" s="7">
        <f t="shared" si="5"/>
        <v>30.5388376877712</v>
      </c>
    </row>
    <row r="10" spans="1:10">
      <c r="A10">
        <v>185</v>
      </c>
      <c r="B10" s="7">
        <f>'L2'!C10*'L2'!D12-'L2'!D10*'L2'!C12</f>
        <v>-157.657309059872</v>
      </c>
      <c r="C10" s="7">
        <f>'L2'!D10*'L2'!B12-'L2'!B10*'L2'!D12</f>
        <v>84.892397186085</v>
      </c>
      <c r="D10" s="7">
        <f>'L2'!B10*'L2'!C12-'L2'!C10*'L2'!B12</f>
        <v>299.75</v>
      </c>
      <c r="E10" s="7">
        <f t="shared" si="0"/>
        <v>349.159861238373</v>
      </c>
      <c r="F10" s="7">
        <f t="shared" si="1"/>
        <v>-21.4207403888679</v>
      </c>
      <c r="G10" s="7">
        <f t="shared" si="2"/>
        <v>11.534244824775</v>
      </c>
      <c r="H10" s="7">
        <f t="shared" si="3"/>
        <v>-40.7267317313196</v>
      </c>
      <c r="I10" s="7">
        <f t="shared" si="4"/>
        <v>-44.5560030448154</v>
      </c>
      <c r="J10" s="7">
        <f t="shared" si="5"/>
        <v>16.2885294815216</v>
      </c>
    </row>
    <row r="11" spans="1:10">
      <c r="A11">
        <v>205</v>
      </c>
      <c r="B11" s="7">
        <f>'L2'!C11*'L2'!D13-'L2'!D11*'L2'!C13</f>
        <v>-141.357368712002</v>
      </c>
      <c r="C11" s="7">
        <f>'L2'!D11*'L2'!B13-'L2'!B11*'L2'!D13</f>
        <v>128.347601096585</v>
      </c>
      <c r="D11" s="7">
        <f>'L2'!B11*'L2'!C13-'L2'!C11*'L2'!B13</f>
        <v>297.25</v>
      </c>
      <c r="E11" s="7">
        <f t="shared" si="0"/>
        <v>353.288232037849</v>
      </c>
      <c r="F11" s="7">
        <f t="shared" si="1"/>
        <v>-18.9816500057634</v>
      </c>
      <c r="G11" s="7">
        <f t="shared" si="2"/>
        <v>17.2346816108205</v>
      </c>
      <c r="H11" s="7">
        <f t="shared" si="3"/>
        <v>-39.9151138396516</v>
      </c>
      <c r="I11" s="7">
        <f t="shared" si="4"/>
        <v>-47.4399398331545</v>
      </c>
      <c r="J11" s="7">
        <f t="shared" si="5"/>
        <v>0.0755554543581351</v>
      </c>
    </row>
    <row r="12" spans="1:10">
      <c r="A12">
        <v>225</v>
      </c>
      <c r="B12" s="7">
        <f>'L2'!C12*'L2'!D14-'L2'!D12*'L2'!C14</f>
        <v>-161.513643207402</v>
      </c>
      <c r="C12" s="7">
        <f>'L2'!D12*'L2'!B14-'L2'!B12*'L2'!D14</f>
        <v>39.4716580909189</v>
      </c>
      <c r="D12" s="7">
        <f>'L2'!B12*'L2'!C14-'L2'!C12*'L2'!B14</f>
        <v>275.75</v>
      </c>
      <c r="E12" s="7">
        <f t="shared" si="0"/>
        <v>321.998029861324</v>
      </c>
      <c r="F12" s="7">
        <f t="shared" si="1"/>
        <v>-23.7958202323754</v>
      </c>
      <c r="G12" s="7">
        <f t="shared" si="2"/>
        <v>5.81536309597809</v>
      </c>
      <c r="H12" s="7">
        <f t="shared" si="3"/>
        <v>-40.6262734142624</v>
      </c>
      <c r="I12" s="7">
        <f t="shared" si="4"/>
        <v>-44.6076608905174</v>
      </c>
      <c r="J12" s="7">
        <f t="shared" si="5"/>
        <v>-16.1465225320068</v>
      </c>
    </row>
    <row r="13" spans="1:10">
      <c r="A13">
        <v>245</v>
      </c>
      <c r="B13" s="7">
        <f>'L2'!C13*'L2'!D15-'L2'!D13*'L2'!C15</f>
        <v>-169.363099197816</v>
      </c>
      <c r="C13" s="7">
        <f>'L2'!D13*'L2'!B15-'L2'!B13*'L2'!D15</f>
        <v>30.4344679753649</v>
      </c>
      <c r="D13" s="7">
        <f>'L2'!B13*'L2'!C15-'L2'!C13*'L2'!B15</f>
        <v>291.75</v>
      </c>
      <c r="E13" s="7">
        <f t="shared" si="0"/>
        <v>338.715483423526</v>
      </c>
      <c r="F13" s="7">
        <f t="shared" si="1"/>
        <v>-23.7207503617366</v>
      </c>
      <c r="G13" s="7">
        <f t="shared" si="2"/>
        <v>4.26260750219672</v>
      </c>
      <c r="H13" s="7">
        <f t="shared" si="3"/>
        <v>-40.862082418281</v>
      </c>
      <c r="I13" s="7">
        <f t="shared" si="4"/>
        <v>-36.4004380967454</v>
      </c>
      <c r="J13" s="7">
        <f t="shared" si="5"/>
        <v>-30.4230456457766</v>
      </c>
    </row>
    <row r="14" spans="1:10">
      <c r="A14">
        <v>265</v>
      </c>
      <c r="B14" s="7">
        <f>'L2'!C14*'L2'!D16-'L2'!D14*'L2'!C16</f>
        <v>-189.528304235315</v>
      </c>
      <c r="C14" s="7">
        <f>'L2'!D14*'L2'!B16-'L2'!B14*'L2'!D16</f>
        <v>63.5192819464876</v>
      </c>
      <c r="D14" s="7">
        <f>'L2'!B14*'L2'!C16-'L2'!C14*'L2'!B16</f>
        <v>330.25</v>
      </c>
      <c r="E14" s="7">
        <f t="shared" si="0"/>
        <v>386.03204502387</v>
      </c>
      <c r="F14" s="7">
        <f t="shared" si="1"/>
        <v>-23.2913895849433</v>
      </c>
      <c r="G14" s="7">
        <f t="shared" si="2"/>
        <v>7.80597044826949</v>
      </c>
      <c r="H14" s="7">
        <f t="shared" si="3"/>
        <v>-40.5848690593322</v>
      </c>
      <c r="I14" s="7">
        <f t="shared" si="4"/>
        <v>-23.8071904135063</v>
      </c>
      <c r="J14" s="7">
        <f t="shared" si="5"/>
        <v>-41.0337822362874</v>
      </c>
    </row>
    <row r="15" spans="1:10">
      <c r="A15">
        <v>285</v>
      </c>
      <c r="B15" s="7">
        <f>'L2'!C15*'L2'!D17-'L2'!D15*'L2'!C17</f>
        <v>-174.105825941859</v>
      </c>
      <c r="C15" s="7">
        <f>'L2'!D15*'L2'!B17-'L2'!B15*'L2'!D17</f>
        <v>72.1426226733871</v>
      </c>
      <c r="D15" s="7">
        <f>'L2'!B15*'L2'!C17-'L2'!C15*'L2'!B17</f>
        <v>309.25</v>
      </c>
      <c r="E15" s="7">
        <f t="shared" si="0"/>
        <v>362.150464769951</v>
      </c>
      <c r="F15" s="7">
        <f t="shared" si="1"/>
        <v>-22.8070406810841</v>
      </c>
      <c r="G15" s="7">
        <f t="shared" si="2"/>
        <v>9.45034275131892</v>
      </c>
      <c r="H15" s="7">
        <f t="shared" si="3"/>
        <v>-40.5102890295042</v>
      </c>
      <c r="I15" s="7">
        <f t="shared" si="4"/>
        <v>-8.3453253409821</v>
      </c>
      <c r="J15" s="7">
        <f t="shared" si="5"/>
        <v>-46.7002049776354</v>
      </c>
    </row>
    <row r="16" spans="1:10">
      <c r="A16">
        <v>305</v>
      </c>
      <c r="B16" s="7">
        <f>'L2'!C16*'L2'!D18-'L2'!D16*'L2'!C18</f>
        <v>-165.834114361021</v>
      </c>
      <c r="C16" s="7">
        <f>'L2'!D16*'L2'!B18-'L2'!B16*'L2'!D18</f>
        <v>24.4042186991734</v>
      </c>
      <c r="D16" s="7">
        <f>'L2'!B16*'L2'!C18-'L2'!C16*'L2'!B18</f>
        <v>287</v>
      </c>
      <c r="E16" s="7">
        <f t="shared" si="0"/>
        <v>332.363534967694</v>
      </c>
      <c r="F16" s="7">
        <f t="shared" si="1"/>
        <v>-23.6703776364984</v>
      </c>
      <c r="G16" s="7">
        <f t="shared" si="2"/>
        <v>3.48334282580464</v>
      </c>
      <c r="H16" s="7">
        <f t="shared" si="3"/>
        <v>-40.9650234383367</v>
      </c>
      <c r="I16" s="7">
        <f t="shared" si="4"/>
        <v>8.12209918549612</v>
      </c>
      <c r="J16" s="7">
        <f t="shared" si="5"/>
        <v>-46.7395454066571</v>
      </c>
    </row>
    <row r="17" spans="1:10">
      <c r="A17">
        <v>325</v>
      </c>
      <c r="B17" s="7">
        <f>'L2'!C17*'L2'!D19-'L2'!D17*'L2'!C19</f>
        <v>-160.065892535773</v>
      </c>
      <c r="C17" s="7">
        <f>'L2'!D17*'L2'!B19-'L2'!B17*'L2'!D19</f>
        <v>-27.417952821761</v>
      </c>
      <c r="D17" s="7">
        <f>'L2'!B17*'L2'!C19-'L2'!C17*'L2'!B19</f>
        <v>292.5</v>
      </c>
      <c r="E17" s="7">
        <f t="shared" si="0"/>
        <v>334.558042931582</v>
      </c>
      <c r="F17" s="7">
        <f t="shared" si="1"/>
        <v>-22.6971854430951</v>
      </c>
      <c r="G17" s="7">
        <f t="shared" si="2"/>
        <v>-3.88783862574884</v>
      </c>
      <c r="H17" s="7">
        <f t="shared" si="3"/>
        <v>-41.4762110586525</v>
      </c>
      <c r="I17" s="7">
        <f t="shared" si="4"/>
        <v>23.6108616121494</v>
      </c>
      <c r="J17" s="7">
        <f t="shared" si="5"/>
        <v>-41.1470632479638</v>
      </c>
    </row>
    <row r="18" spans="1:10">
      <c r="A18">
        <v>345</v>
      </c>
      <c r="B18" s="7">
        <f>-('L2'!C18*'L2'!D2-'L2'!D18*'L2'!C2)</f>
        <v>-997.719524035898</v>
      </c>
      <c r="C18" s="7">
        <f>-('L2'!D18*'L2'!B2-'L2'!B18*'L2'!D2)</f>
        <v>984.74301736936</v>
      </c>
      <c r="D18" s="7">
        <f>-('L2'!B18*'L2'!C2-'L2'!C18*'L2'!B2)</f>
        <v>1528.25</v>
      </c>
      <c r="E18" s="7">
        <f t="shared" si="0"/>
        <v>2073.81559483965</v>
      </c>
      <c r="F18" s="7">
        <f t="shared" si="1"/>
        <v>-22.8235405009204</v>
      </c>
      <c r="G18" s="7">
        <f t="shared" si="2"/>
        <v>22.5266937235153</v>
      </c>
      <c r="H18" s="7">
        <f t="shared" si="3"/>
        <v>-34.9598007558651</v>
      </c>
      <c r="I18" s="7">
        <f t="shared" si="4"/>
        <v>36.254663040877</v>
      </c>
      <c r="J18" s="7">
        <f t="shared" si="5"/>
        <v>-30.5966175874469</v>
      </c>
    </row>
    <row r="19" spans="1:10">
      <c r="A19">
        <v>365</v>
      </c>
      <c r="B19" s="7">
        <f>-('L2'!C19*'L2'!D3-'L2'!D19*'L2'!C3)</f>
        <v>-1078.35072351006</v>
      </c>
      <c r="C19" s="7">
        <f>-('L2'!D19*'L2'!B3-'L2'!B19*'L2'!D3)</f>
        <v>814.920121938485</v>
      </c>
      <c r="D19" s="7">
        <f>-('L2'!B19*'L2'!C3-'L2'!C19*'L2'!B3)</f>
        <v>1579.5</v>
      </c>
      <c r="E19" s="7">
        <f t="shared" si="0"/>
        <v>2078.88319489935</v>
      </c>
      <c r="F19" s="7">
        <f t="shared" si="1"/>
        <v>-24.6079041135326</v>
      </c>
      <c r="G19" s="7">
        <f t="shared" si="2"/>
        <v>18.596432295771</v>
      </c>
      <c r="H19" s="7">
        <f t="shared" si="3"/>
        <v>-36.0441029990759</v>
      </c>
      <c r="I19" s="7">
        <f t="shared" si="4"/>
        <v>44.5300045616798</v>
      </c>
      <c r="J19" s="7">
        <f t="shared" si="5"/>
        <v>-16.3594710714245</v>
      </c>
    </row>
    <row r="21" spans="1:10">
      <c r="A21" s="6" t="s">
        <v>22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I11" sqref="I11"/>
    </sheetView>
  </sheetViews>
  <sheetFormatPr defaultColWidth="9" defaultRowHeight="14.4"/>
  <cols>
    <col min="2" max="2" width="9.87962962962963" customWidth="1"/>
    <col min="3" max="3" width="10.1296296296296" customWidth="1"/>
    <col min="4" max="4" width="9.75" customWidth="1"/>
    <col min="14" max="14" width="13.8796296296296" customWidth="1"/>
  </cols>
  <sheetData>
    <row r="1" spans="1:14">
      <c r="A1" s="6" t="s">
        <v>0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17</v>
      </c>
      <c r="J1" s="6" t="s">
        <v>18</v>
      </c>
      <c r="K1" s="6" t="s">
        <v>35</v>
      </c>
      <c r="L1" s="6" t="s">
        <v>36</v>
      </c>
      <c r="M1" s="6" t="s">
        <v>37</v>
      </c>
      <c r="N1" s="6" t="s">
        <v>38</v>
      </c>
    </row>
    <row r="2" spans="1:14">
      <c r="A2">
        <v>25</v>
      </c>
      <c r="B2" s="7">
        <f>'L2'!C2*'L2'!D4-'L2'!D2*'L2'!C4</f>
        <v>68.1366225707045</v>
      </c>
      <c r="C2" s="7">
        <f>'L2'!D2*'L2'!B4-'L2'!B2*'L2'!D4</f>
        <v>212.953302932885</v>
      </c>
      <c r="D2" s="7">
        <f>'L2'!B2*'L2'!C4-'L2'!C2*'L2'!B4</f>
        <v>238.75</v>
      </c>
      <c r="E2" s="7">
        <f>SQRT(B2*B2+C2*C2+D2*D2)</f>
        <v>327.098259037506</v>
      </c>
      <c r="F2" s="7">
        <f>B2/E2*47.44</f>
        <v>9.88205007347221</v>
      </c>
      <c r="G2" s="7">
        <f>C2/E2*47.44</f>
        <v>30.8852291689442</v>
      </c>
      <c r="H2" s="7">
        <f>-D2/E2*47.44</f>
        <v>-34.6265982378747</v>
      </c>
      <c r="I2">
        <f>COS(3.14/9*((A2-25)/20))*47.44</f>
        <v>47.44</v>
      </c>
      <c r="J2">
        <f>SIN(3.14/9*((A2-25)/20))*47.44</f>
        <v>0</v>
      </c>
      <c r="K2">
        <f>(A2-25)/20</f>
        <v>0</v>
      </c>
      <c r="L2">
        <f>G2/SQRT(F2*F2+G2*G2)*47.44</f>
        <v>45.1835209822148</v>
      </c>
      <c r="M2">
        <f>-F2/SQRT(F2*F2+G2*G2)*47.44</f>
        <v>-14.4569371462201</v>
      </c>
      <c r="N2">
        <f>SQRT(MAX(47.44*47.44-L2*L2-M2*M2,0))</f>
        <v>9.07870901329983e-7</v>
      </c>
    </row>
    <row r="3" spans="1:14">
      <c r="A3">
        <v>45</v>
      </c>
      <c r="B3" s="7">
        <f>'L2'!C3*'L2'!D5-'L2'!D3*'L2'!C5</f>
        <v>-3.88592536258534</v>
      </c>
      <c r="C3" s="7">
        <f>'L2'!D3*'L2'!B5-'L2'!B3*'L2'!D5</f>
        <v>200.022821603777</v>
      </c>
      <c r="D3" s="7">
        <f>'L2'!B3*'L2'!C5-'L2'!C3*'L2'!B5</f>
        <v>261</v>
      </c>
      <c r="E3" s="7">
        <f t="shared" ref="E3:E19" si="0">SQRT(B3*B3+C3*C3+D3*D3)</f>
        <v>328.85442003759</v>
      </c>
      <c r="F3" s="7">
        <f t="shared" ref="F3:F19" si="1">B3/E3*47.44</f>
        <v>-0.560577228002519</v>
      </c>
      <c r="G3" s="7">
        <f t="shared" ref="G3:G19" si="2">C3/E3*47.44</f>
        <v>28.8549646247677</v>
      </c>
      <c r="H3" s="7">
        <f t="shared" ref="H3:H19" si="3">-D3/E3*47.44</f>
        <v>-37.6514325049506</v>
      </c>
      <c r="I3" s="7">
        <f t="shared" ref="I3:I19" si="4">COS(3.14/9*((A3-25)/20))*47.44</f>
        <v>44.5818885096479</v>
      </c>
      <c r="J3" s="7">
        <f t="shared" ref="J3:J19" si="5">SIN(3.14/9*((A3-25)/20))*47.44</f>
        <v>16.2175465750319</v>
      </c>
      <c r="K3">
        <f t="shared" ref="K3:K19" si="6">(A3-25)/20</f>
        <v>1</v>
      </c>
    </row>
    <row r="4" spans="1:14">
      <c r="A4">
        <v>65</v>
      </c>
      <c r="B4" s="7">
        <f>'L2'!C4*'L2'!D6-'L2'!D4*'L2'!C6</f>
        <v>-34.9823358161882</v>
      </c>
      <c r="C4" s="7">
        <f>'L2'!D4*'L2'!B6-'L2'!B4*'L2'!D6</f>
        <v>210.559170332872</v>
      </c>
      <c r="D4" s="7">
        <f>'L2'!B4*'L2'!C6-'L2'!C4*'L2'!B6</f>
        <v>296.5</v>
      </c>
      <c r="E4" s="7">
        <f t="shared" si="0"/>
        <v>365.337074535865</v>
      </c>
      <c r="F4" s="7">
        <f t="shared" si="1"/>
        <v>-4.54255022769952</v>
      </c>
      <c r="G4" s="7">
        <f t="shared" si="2"/>
        <v>27.3416735853641</v>
      </c>
      <c r="H4" s="7">
        <f t="shared" si="3"/>
        <v>-38.5013210550005</v>
      </c>
      <c r="I4" s="7">
        <f t="shared" si="4"/>
        <v>36.3519385786961</v>
      </c>
      <c r="J4" s="7">
        <f t="shared" si="5"/>
        <v>30.4809803249618</v>
      </c>
      <c r="K4">
        <f t="shared" si="6"/>
        <v>2</v>
      </c>
    </row>
    <row r="5" spans="1:14">
      <c r="A5">
        <v>85</v>
      </c>
      <c r="B5" s="7">
        <f>'L2'!C5*'L2'!D7-'L2'!D5*'L2'!C7</f>
        <v>-75.06988248193</v>
      </c>
      <c r="C5" s="7">
        <f>'L2'!D5*'L2'!B7-'L2'!B5*'L2'!D7</f>
        <v>189.155064279935</v>
      </c>
      <c r="D5" s="7">
        <f>'L2'!B5*'L2'!C7-'L2'!C5*'L2'!B7</f>
        <v>301</v>
      </c>
      <c r="E5" s="7">
        <f t="shared" si="0"/>
        <v>363.340233938656</v>
      </c>
      <c r="F5" s="7">
        <f t="shared" si="1"/>
        <v>-9.801598865993</v>
      </c>
      <c r="G5" s="7">
        <f t="shared" si="2"/>
        <v>24.6972820823227</v>
      </c>
      <c r="H5" s="7">
        <f t="shared" si="3"/>
        <v>-39.3004645954262</v>
      </c>
      <c r="I5" s="7">
        <f t="shared" si="4"/>
        <v>23.7418076465493</v>
      </c>
      <c r="J5" s="7">
        <f t="shared" si="5"/>
        <v>41.0716467855168</v>
      </c>
      <c r="K5">
        <f t="shared" si="6"/>
        <v>3</v>
      </c>
    </row>
    <row r="6" spans="1:14">
      <c r="A6">
        <v>105</v>
      </c>
      <c r="B6" s="7">
        <f>'L2'!C6*'L2'!D8-'L2'!D6*'L2'!C8</f>
        <v>-109.111728852548</v>
      </c>
      <c r="C6" s="7">
        <f>'L2'!D6*'L2'!B8-'L2'!B6*'L2'!D8</f>
        <v>146.788920273397</v>
      </c>
      <c r="D6" s="7">
        <f>'L2'!B6*'L2'!C8-'L2'!C6*'L2'!B8</f>
        <v>282.25</v>
      </c>
      <c r="E6" s="7">
        <f t="shared" si="0"/>
        <v>336.329331144671</v>
      </c>
      <c r="F6" s="7">
        <f t="shared" si="1"/>
        <v>-15.3904519690503</v>
      </c>
      <c r="G6" s="7">
        <f t="shared" si="2"/>
        <v>20.7049035957395</v>
      </c>
      <c r="H6" s="7">
        <f t="shared" si="3"/>
        <v>-39.8119900944363</v>
      </c>
      <c r="I6" s="7">
        <f t="shared" si="4"/>
        <v>8.27093753917763</v>
      </c>
      <c r="J6" s="7">
        <f t="shared" si="5"/>
        <v>46.7134369557949</v>
      </c>
      <c r="K6">
        <f t="shared" si="6"/>
        <v>4</v>
      </c>
    </row>
    <row r="7" spans="1:14">
      <c r="A7">
        <v>125</v>
      </c>
      <c r="B7" s="7">
        <f>'L2'!C7*'L2'!D9-'L2'!D7*'L2'!C9</f>
        <v>-61.922055689335</v>
      </c>
      <c r="C7" s="7">
        <f>'L2'!D7*'L2'!B9-'L2'!B7*'L2'!D9</f>
        <v>162.576267909339</v>
      </c>
      <c r="D7" s="7">
        <f>'L2'!B7*'L2'!C9-'L2'!C7*'L2'!B9</f>
        <v>256</v>
      </c>
      <c r="E7" s="7">
        <f t="shared" si="0"/>
        <v>309.517986340249</v>
      </c>
      <c r="F7" s="7">
        <f t="shared" si="1"/>
        <v>-9.49082913285954</v>
      </c>
      <c r="G7" s="7">
        <f t="shared" si="2"/>
        <v>24.918158200799</v>
      </c>
      <c r="H7" s="7">
        <f t="shared" si="3"/>
        <v>-39.2372674156958</v>
      </c>
      <c r="I7" s="7">
        <f t="shared" si="4"/>
        <v>-8.19652875776856</v>
      </c>
      <c r="J7" s="7">
        <f t="shared" si="5"/>
        <v>46.7265504432231</v>
      </c>
      <c r="K7">
        <f t="shared" si="6"/>
        <v>5</v>
      </c>
    </row>
    <row r="8" spans="1:14">
      <c r="A8">
        <v>145</v>
      </c>
      <c r="B8" s="7">
        <f>'L2'!C8*'L2'!D10-'L2'!D8*'L2'!C10</f>
        <v>-103.603603001749</v>
      </c>
      <c r="C8" s="7">
        <f>'L2'!D8*'L2'!B10-'L2'!B8*'L2'!D10</f>
        <v>178.43153864594</v>
      </c>
      <c r="D8" s="7">
        <f>'L2'!B8*'L2'!C10-'L2'!C8*'L2'!B10</f>
        <v>310.75</v>
      </c>
      <c r="E8" s="7">
        <f t="shared" si="0"/>
        <v>373.010835014885</v>
      </c>
      <c r="F8" s="7">
        <f t="shared" si="1"/>
        <v>-13.17644010584</v>
      </c>
      <c r="G8" s="7">
        <f t="shared" si="2"/>
        <v>22.6931536533667</v>
      </c>
      <c r="H8" s="7">
        <f t="shared" si="3"/>
        <v>-39.5215865496554</v>
      </c>
      <c r="I8" s="7">
        <f t="shared" si="4"/>
        <v>-23.6763646574306</v>
      </c>
      <c r="J8" s="7">
        <f t="shared" si="5"/>
        <v>41.1094071546692</v>
      </c>
      <c r="K8">
        <f t="shared" si="6"/>
        <v>6</v>
      </c>
    </row>
    <row r="9" spans="1:14">
      <c r="A9">
        <v>165</v>
      </c>
      <c r="B9" s="7">
        <f>'L2'!C9*'L2'!D11-'L2'!D9*'L2'!C11</f>
        <v>-193.745647385913</v>
      </c>
      <c r="C9" s="7">
        <f>'L2'!D9*'L2'!B11-'L2'!B9*'L2'!D11</f>
        <v>66.4427350621318</v>
      </c>
      <c r="D9" s="7">
        <f>'L2'!B9*'L2'!C11-'L2'!C9*'L2'!B11</f>
        <v>324.5</v>
      </c>
      <c r="E9" s="7">
        <f t="shared" si="0"/>
        <v>383.734625651013</v>
      </c>
      <c r="F9" s="7">
        <f t="shared" si="1"/>
        <v>-23.9522130597272</v>
      </c>
      <c r="G9" s="7">
        <f t="shared" si="2"/>
        <v>8.21412283554039</v>
      </c>
      <c r="H9" s="7">
        <f t="shared" si="3"/>
        <v>-40.1169948473722</v>
      </c>
      <c r="I9" s="7">
        <f t="shared" si="4"/>
        <v>-36.3033468523216</v>
      </c>
      <c r="J9" s="7">
        <f t="shared" si="5"/>
        <v>30.5388376877712</v>
      </c>
      <c r="K9">
        <f t="shared" si="6"/>
        <v>7</v>
      </c>
    </row>
    <row r="10" spans="1:14">
      <c r="A10">
        <v>185</v>
      </c>
      <c r="B10" s="7">
        <f>'L2'!C10*'L2'!D12-'L2'!D10*'L2'!C12</f>
        <v>-157.657309059872</v>
      </c>
      <c r="C10" s="7">
        <f>'L2'!D10*'L2'!B12-'L2'!B10*'L2'!D12</f>
        <v>84.892397186085</v>
      </c>
      <c r="D10" s="7">
        <f>'L2'!B10*'L2'!C12-'L2'!C10*'L2'!B12</f>
        <v>299.75</v>
      </c>
      <c r="E10" s="7">
        <f t="shared" si="0"/>
        <v>349.159861238373</v>
      </c>
      <c r="F10" s="7">
        <f t="shared" si="1"/>
        <v>-21.4207403888679</v>
      </c>
      <c r="G10" s="7">
        <f t="shared" si="2"/>
        <v>11.534244824775</v>
      </c>
      <c r="H10" s="7">
        <f t="shared" si="3"/>
        <v>-40.7267317313196</v>
      </c>
      <c r="I10" s="7">
        <f t="shared" si="4"/>
        <v>-44.5560030448154</v>
      </c>
      <c r="J10" s="7">
        <f t="shared" si="5"/>
        <v>16.2885294815216</v>
      </c>
      <c r="K10">
        <f t="shared" si="6"/>
        <v>8</v>
      </c>
    </row>
    <row r="11" spans="1:14">
      <c r="A11">
        <v>205</v>
      </c>
      <c r="B11" s="7">
        <f>'L2'!C11*'L2'!D13-'L2'!D11*'L2'!C13</f>
        <v>-141.357368712002</v>
      </c>
      <c r="C11" s="7">
        <f>'L2'!D11*'L2'!B13-'L2'!B11*'L2'!D13</f>
        <v>128.347601096585</v>
      </c>
      <c r="D11" s="7">
        <f>'L2'!B11*'L2'!C13-'L2'!C11*'L2'!B13</f>
        <v>297.25</v>
      </c>
      <c r="E11" s="7">
        <f t="shared" si="0"/>
        <v>353.288232037849</v>
      </c>
      <c r="F11" s="7">
        <f t="shared" si="1"/>
        <v>-18.9816500057634</v>
      </c>
      <c r="G11" s="7">
        <f t="shared" si="2"/>
        <v>17.2346816108205</v>
      </c>
      <c r="H11" s="7">
        <f t="shared" si="3"/>
        <v>-39.9151138396516</v>
      </c>
      <c r="I11" s="7">
        <f t="shared" si="4"/>
        <v>-47.4399398331545</v>
      </c>
      <c r="J11" s="7">
        <f t="shared" si="5"/>
        <v>0.0755554543581351</v>
      </c>
      <c r="K11">
        <f t="shared" si="6"/>
        <v>9</v>
      </c>
    </row>
    <row r="12" spans="1:14">
      <c r="A12">
        <v>225</v>
      </c>
      <c r="B12" s="7">
        <f>'L2'!C12*'L2'!D14-'L2'!D12*'L2'!C14</f>
        <v>-161.513643207402</v>
      </c>
      <c r="C12" s="7">
        <f>'L2'!D12*'L2'!B14-'L2'!B12*'L2'!D14</f>
        <v>39.4716580909189</v>
      </c>
      <c r="D12" s="7">
        <f>'L2'!B12*'L2'!C14-'L2'!C12*'L2'!B14</f>
        <v>275.75</v>
      </c>
      <c r="E12" s="7">
        <f t="shared" si="0"/>
        <v>321.998029861324</v>
      </c>
      <c r="F12" s="7">
        <f t="shared" si="1"/>
        <v>-23.7958202323754</v>
      </c>
      <c r="G12" s="7">
        <f t="shared" si="2"/>
        <v>5.81536309597809</v>
      </c>
      <c r="H12" s="7">
        <f t="shared" si="3"/>
        <v>-40.6262734142624</v>
      </c>
      <c r="I12" s="7">
        <f t="shared" si="4"/>
        <v>-44.6076608905174</v>
      </c>
      <c r="J12" s="7">
        <f t="shared" si="5"/>
        <v>-16.1465225320068</v>
      </c>
      <c r="K12">
        <f t="shared" si="6"/>
        <v>10</v>
      </c>
    </row>
    <row r="13" spans="1:14">
      <c r="A13">
        <v>245</v>
      </c>
      <c r="B13" s="7">
        <f>'L2'!C13*'L2'!D15-'L2'!D13*'L2'!C15</f>
        <v>-169.363099197816</v>
      </c>
      <c r="C13" s="7">
        <f>'L2'!D13*'L2'!B15-'L2'!B13*'L2'!D15</f>
        <v>30.4344679753649</v>
      </c>
      <c r="D13" s="7">
        <f>'L2'!B13*'L2'!C15-'L2'!C13*'L2'!B15</f>
        <v>291.75</v>
      </c>
      <c r="E13" s="7">
        <f t="shared" si="0"/>
        <v>338.715483423526</v>
      </c>
      <c r="F13" s="7">
        <f t="shared" si="1"/>
        <v>-23.7207503617366</v>
      </c>
      <c r="G13" s="7">
        <f t="shared" si="2"/>
        <v>4.26260750219672</v>
      </c>
      <c r="H13" s="7">
        <f t="shared" si="3"/>
        <v>-40.862082418281</v>
      </c>
      <c r="I13" s="7">
        <f t="shared" si="4"/>
        <v>-36.4004380967454</v>
      </c>
      <c r="J13" s="7">
        <f t="shared" si="5"/>
        <v>-30.4230456457766</v>
      </c>
      <c r="K13">
        <f t="shared" si="6"/>
        <v>11</v>
      </c>
    </row>
    <row r="14" spans="1:14">
      <c r="A14">
        <v>265</v>
      </c>
      <c r="B14" s="7">
        <f>'L2'!C14*'L2'!D16-'L2'!D14*'L2'!C16</f>
        <v>-189.528304235315</v>
      </c>
      <c r="C14" s="7">
        <f>'L2'!D14*'L2'!B16-'L2'!B14*'L2'!D16</f>
        <v>63.5192819464876</v>
      </c>
      <c r="D14" s="7">
        <f>'L2'!B14*'L2'!C16-'L2'!C14*'L2'!B16</f>
        <v>330.25</v>
      </c>
      <c r="E14" s="7">
        <f t="shared" si="0"/>
        <v>386.03204502387</v>
      </c>
      <c r="F14" s="7">
        <f t="shared" si="1"/>
        <v>-23.2913895849433</v>
      </c>
      <c r="G14" s="7">
        <f t="shared" si="2"/>
        <v>7.80597044826949</v>
      </c>
      <c r="H14" s="7">
        <f t="shared" si="3"/>
        <v>-40.5848690593322</v>
      </c>
      <c r="I14" s="7">
        <f t="shared" si="4"/>
        <v>-23.8071904135063</v>
      </c>
      <c r="J14" s="7">
        <f t="shared" si="5"/>
        <v>-41.0337822362874</v>
      </c>
      <c r="K14">
        <f t="shared" si="6"/>
        <v>12</v>
      </c>
    </row>
    <row r="15" spans="1:14">
      <c r="A15">
        <v>285</v>
      </c>
      <c r="B15" s="7">
        <f>'L2'!C15*'L2'!D17-'L2'!D15*'L2'!C17</f>
        <v>-174.105825941859</v>
      </c>
      <c r="C15" s="7">
        <f>'L2'!D15*'L2'!B17-'L2'!B15*'L2'!D17</f>
        <v>72.1426226733871</v>
      </c>
      <c r="D15" s="7">
        <f>'L2'!B15*'L2'!C17-'L2'!C15*'L2'!B17</f>
        <v>309.25</v>
      </c>
      <c r="E15" s="7">
        <f t="shared" si="0"/>
        <v>362.150464769951</v>
      </c>
      <c r="F15" s="7">
        <f t="shared" si="1"/>
        <v>-22.8070406810841</v>
      </c>
      <c r="G15" s="7">
        <f t="shared" si="2"/>
        <v>9.45034275131892</v>
      </c>
      <c r="H15" s="7">
        <f t="shared" si="3"/>
        <v>-40.5102890295042</v>
      </c>
      <c r="I15" s="7">
        <f t="shared" si="4"/>
        <v>-8.3453253409821</v>
      </c>
      <c r="J15" s="7">
        <f t="shared" si="5"/>
        <v>-46.7002049776354</v>
      </c>
      <c r="K15">
        <f t="shared" si="6"/>
        <v>13</v>
      </c>
    </row>
    <row r="16" spans="1:14">
      <c r="A16">
        <v>305</v>
      </c>
      <c r="B16" s="7">
        <f>'L2'!C16*'L2'!D18-'L2'!D16*'L2'!C18</f>
        <v>-165.834114361021</v>
      </c>
      <c r="C16" s="7">
        <f>'L2'!D16*'L2'!B18-'L2'!B16*'L2'!D18</f>
        <v>24.4042186991734</v>
      </c>
      <c r="D16" s="7">
        <f>'L2'!B16*'L2'!C18-'L2'!C16*'L2'!B18</f>
        <v>287</v>
      </c>
      <c r="E16" s="7">
        <f t="shared" si="0"/>
        <v>332.363534967694</v>
      </c>
      <c r="F16" s="7">
        <f t="shared" si="1"/>
        <v>-23.6703776364984</v>
      </c>
      <c r="G16" s="7">
        <f t="shared" si="2"/>
        <v>3.48334282580464</v>
      </c>
      <c r="H16" s="7">
        <f t="shared" si="3"/>
        <v>-40.9650234383367</v>
      </c>
      <c r="I16" s="7">
        <f t="shared" si="4"/>
        <v>8.12209918549612</v>
      </c>
      <c r="J16" s="7">
        <f t="shared" si="5"/>
        <v>-46.7395454066571</v>
      </c>
      <c r="K16">
        <f t="shared" si="6"/>
        <v>14</v>
      </c>
    </row>
    <row r="17" spans="1:11">
      <c r="A17">
        <v>325</v>
      </c>
      <c r="B17" s="7">
        <f>'L2'!C17*'L2'!D19-'L2'!D17*'L2'!C19</f>
        <v>-160.065892535773</v>
      </c>
      <c r="C17" s="7">
        <f>'L2'!D17*'L2'!B19-'L2'!B17*'L2'!D19</f>
        <v>-27.417952821761</v>
      </c>
      <c r="D17" s="7">
        <f>'L2'!B17*'L2'!C19-'L2'!C17*'L2'!B19</f>
        <v>292.5</v>
      </c>
      <c r="E17" s="7">
        <f t="shared" si="0"/>
        <v>334.558042931582</v>
      </c>
      <c r="F17" s="7">
        <f t="shared" si="1"/>
        <v>-22.6971854430951</v>
      </c>
      <c r="G17" s="7">
        <f t="shared" si="2"/>
        <v>-3.88783862574884</v>
      </c>
      <c r="H17" s="7">
        <f t="shared" si="3"/>
        <v>-41.4762110586525</v>
      </c>
      <c r="I17" s="7">
        <f t="shared" si="4"/>
        <v>23.6108616121494</v>
      </c>
      <c r="J17" s="7">
        <f t="shared" si="5"/>
        <v>-41.1470632479638</v>
      </c>
      <c r="K17">
        <f t="shared" si="6"/>
        <v>15</v>
      </c>
    </row>
    <row r="18" spans="1:11">
      <c r="A18">
        <v>345</v>
      </c>
      <c r="B18" s="7">
        <f>-('L2'!C18*'L2'!D2-'L2'!D18*'L2'!C2)</f>
        <v>-997.719524035898</v>
      </c>
      <c r="C18" s="7">
        <f>-('L2'!D18*'L2'!B2-'L2'!B18*'L2'!D2)</f>
        <v>984.74301736936</v>
      </c>
      <c r="D18" s="7">
        <f>-('L2'!B18*'L2'!C2-'L2'!C18*'L2'!B2)</f>
        <v>1528.25</v>
      </c>
      <c r="E18" s="7">
        <f t="shared" si="0"/>
        <v>2073.81559483965</v>
      </c>
      <c r="F18" s="7">
        <f t="shared" si="1"/>
        <v>-22.8235405009204</v>
      </c>
      <c r="G18" s="7">
        <f t="shared" si="2"/>
        <v>22.5266937235153</v>
      </c>
      <c r="H18" s="7">
        <f t="shared" si="3"/>
        <v>-34.9598007558651</v>
      </c>
      <c r="I18" s="7">
        <f t="shared" si="4"/>
        <v>36.254663040877</v>
      </c>
      <c r="J18" s="7">
        <f t="shared" si="5"/>
        <v>-30.5966175874469</v>
      </c>
      <c r="K18">
        <f t="shared" si="6"/>
        <v>16</v>
      </c>
    </row>
    <row r="19" spans="1:11">
      <c r="A19">
        <v>365</v>
      </c>
      <c r="B19" s="7">
        <f>-('L2'!C19*'L2'!D3-'L2'!D19*'L2'!C3)</f>
        <v>-1078.35072351006</v>
      </c>
      <c r="C19" s="7">
        <f>-('L2'!D19*'L2'!B3-'L2'!B19*'L2'!D3)</f>
        <v>814.920121938485</v>
      </c>
      <c r="D19" s="7">
        <f>-('L2'!B19*'L2'!C3-'L2'!C19*'L2'!B3)</f>
        <v>1579.5</v>
      </c>
      <c r="E19" s="7">
        <f t="shared" si="0"/>
        <v>2078.88319489935</v>
      </c>
      <c r="F19" s="7">
        <f t="shared" si="1"/>
        <v>-24.6079041135326</v>
      </c>
      <c r="G19" s="7">
        <f t="shared" si="2"/>
        <v>18.596432295771</v>
      </c>
      <c r="H19" s="7">
        <f t="shared" si="3"/>
        <v>-36.0441029990759</v>
      </c>
      <c r="I19" s="7">
        <f t="shared" si="4"/>
        <v>44.5300045616798</v>
      </c>
      <c r="J19" s="7">
        <f t="shared" si="5"/>
        <v>-16.3594710714245</v>
      </c>
      <c r="K19">
        <f t="shared" si="6"/>
        <v>17</v>
      </c>
    </row>
    <row r="21" spans="1:11">
      <c r="A21" s="6" t="s">
        <v>22</v>
      </c>
    </row>
    <row r="24" spans="1:11">
      <c r="J24" s="6" t="s">
        <v>39</v>
      </c>
    </row>
    <row r="25" spans="1:11">
      <c r="J25" s="6" t="s">
        <v>40</v>
      </c>
    </row>
  </sheetData>
  <pageMargins left="0.7" right="0.7" top="0.75" bottom="0.75" header="0.3" footer="0.3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88" zoomScaleNormal="88" workbookViewId="0">
      <selection activeCell="G11" sqref="G11"/>
    </sheetView>
  </sheetViews>
  <sheetFormatPr defaultColWidth="10" defaultRowHeight="14.4" outlineLevelCol="6"/>
  <cols>
    <col min="1" max="1" width="10" style="1"/>
    <col min="2" max="2" width="12.8888888888889" style="5"/>
    <col min="3" max="3" width="10" style="5"/>
    <col min="4" max="4" width="23.8055555555556" style="5" customWidth="1"/>
    <col min="5" max="6" width="10" style="5"/>
    <col min="7" max="7" width="22.4814814814815" style="5" customWidth="1"/>
  </cols>
  <sheetData>
    <row r="1" spans="1:7">
      <c r="A1" s="1" t="s">
        <v>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</row>
    <row r="2" spans="1:7">
      <c r="A2" s="1">
        <v>25</v>
      </c>
      <c r="B2" s="5">
        <v>884.558479532164</v>
      </c>
      <c r="C2" s="5">
        <v>517.09649122807</v>
      </c>
      <c r="D2" s="5">
        <f>SQRT((B2-'L1'!B2)^2+(C2-'L1'!C2)^2)</f>
        <v>0.905399335451789</v>
      </c>
      <c r="E2" s="5">
        <v>884.556923951664</v>
      </c>
      <c r="F2" s="5">
        <v>517.094107579775</v>
      </c>
      <c r="G2" s="5">
        <f>SQRT((E2-'L1'!B2)^2+(F2-'L1'!C2)^2)</f>
        <v>0.907679135649873</v>
      </c>
    </row>
    <row r="3" spans="1:7">
      <c r="A3" s="1">
        <v>45</v>
      </c>
      <c r="B3" s="5">
        <v>880.819573443412</v>
      </c>
      <c r="C3" s="5">
        <v>519.536119711042</v>
      </c>
      <c r="D3" s="5">
        <f>SQRT((B3-'L1'!B3)^2+(C3-'L1'!C3)^2)</f>
        <v>0.497733527910207</v>
      </c>
      <c r="E3" s="5">
        <v>880.818200872383</v>
      </c>
      <c r="F3" s="5">
        <v>519.534016491958</v>
      </c>
      <c r="G3" s="5">
        <f>SQRT((E3-'L1'!B3)^2+(F3-'L1'!C3)^2)</f>
        <v>0.500191515891052</v>
      </c>
    </row>
    <row r="4" spans="1:7">
      <c r="A4" s="1">
        <v>65</v>
      </c>
      <c r="B4" s="5">
        <v>877.080667354661</v>
      </c>
      <c r="C4" s="5">
        <v>521.975748194014</v>
      </c>
      <c r="D4" s="5">
        <f>SQRT((B4-'L1'!B4)^2+(C4-'L1'!C4)^2)</f>
        <v>0.420033352890632</v>
      </c>
      <c r="E4" s="5">
        <v>877.079477793103</v>
      </c>
      <c r="F4" s="5">
        <v>521.973925404142</v>
      </c>
      <c r="G4" s="5">
        <f>SQRT((E4-'L1'!B4)^2+(F4-'L1'!C4)^2)</f>
        <v>0.42132981266777</v>
      </c>
    </row>
    <row r="5" spans="1:7">
      <c r="A5" s="1">
        <v>85</v>
      </c>
      <c r="B5" s="5">
        <v>873.34176126591</v>
      </c>
      <c r="C5" s="5">
        <v>524.415376676986</v>
      </c>
      <c r="D5" s="5">
        <f>SQRT((B5-'L1'!B5)^2+(C5-'L1'!C5)^2)</f>
        <v>0.352082191646118</v>
      </c>
      <c r="E5" s="5">
        <v>873.340754713822</v>
      </c>
      <c r="F5" s="5">
        <v>524.413834316325</v>
      </c>
      <c r="G5" s="5">
        <f>SQRT((E5-'L1'!B5)^2+(F5-'L1'!C5)^2)</f>
        <v>0.351480155961998</v>
      </c>
    </row>
    <row r="6" spans="1:7">
      <c r="A6" s="1">
        <v>105</v>
      </c>
      <c r="B6" s="5">
        <v>869.602855177159</v>
      </c>
      <c r="C6" s="5">
        <v>526.855005159959</v>
      </c>
      <c r="D6" s="5">
        <f>SQRT((B6-'L1'!B6)^2+(C6-'L1'!C6)^2)</f>
        <v>0.369604993291355</v>
      </c>
      <c r="E6" s="5">
        <v>869.602031634541</v>
      </c>
      <c r="F6" s="5">
        <v>526.853743228508</v>
      </c>
      <c r="G6" s="5">
        <f>SQRT((E6-'L1'!B6)^2+(F6-'L1'!C6)^2)</f>
        <v>0.368163993571367</v>
      </c>
    </row>
    <row r="7" spans="1:7">
      <c r="A7" s="1">
        <v>125</v>
      </c>
      <c r="B7" s="5">
        <v>865.863949088407</v>
      </c>
      <c r="C7" s="5">
        <v>529.294633642931</v>
      </c>
      <c r="D7" s="5">
        <f>SQRT((B7-'L1'!B7)^2+(C7-'L1'!C7)^2)</f>
        <v>0.468260528444466</v>
      </c>
      <c r="E7" s="5">
        <v>865.86330855526</v>
      </c>
      <c r="F7" s="5">
        <v>529.293652140692</v>
      </c>
      <c r="G7" s="5">
        <f>SQRT((E7-'L1'!B7)^2+(F7-'L1'!C7)^2)</f>
        <v>0.467145251563241</v>
      </c>
    </row>
    <row r="8" spans="1:7">
      <c r="A8" s="1">
        <v>145</v>
      </c>
      <c r="B8" s="5">
        <v>862.125042999656</v>
      </c>
      <c r="C8" s="5">
        <v>531.734262125903</v>
      </c>
      <c r="D8" s="5">
        <f>SQRT((B8-'L1'!B8)^2+(C8-'L1'!C8)^2)</f>
        <v>0.442121584792659</v>
      </c>
      <c r="E8" s="5">
        <v>862.12458547598</v>
      </c>
      <c r="F8" s="5">
        <v>531.733561052875</v>
      </c>
      <c r="G8" s="5">
        <f>SQRT((E8-'L1'!B8)^2+(F8-'L1'!C8)^2)</f>
        <v>0.442138926430636</v>
      </c>
    </row>
    <row r="9" spans="1:7">
      <c r="A9" s="1">
        <v>165</v>
      </c>
      <c r="B9" s="5">
        <v>858.386136910905</v>
      </c>
      <c r="C9" s="5">
        <v>534.173890608875</v>
      </c>
      <c r="D9" s="5">
        <f>SQRT((B9-'L1'!B9)^2+(C9-'L1'!C9)^2)</f>
        <v>0.683442284167582</v>
      </c>
      <c r="E9" s="5">
        <v>858.385862396699</v>
      </c>
      <c r="F9" s="5">
        <v>534.173469965058</v>
      </c>
      <c r="G9" s="5">
        <f>SQRT((E9-'L1'!B9)^2+(F9-'L1'!C9)^2)</f>
        <v>0.68307333890473</v>
      </c>
    </row>
    <row r="10" spans="1:7">
      <c r="A10" s="1">
        <v>185</v>
      </c>
      <c r="B10" s="5">
        <v>854.647230822153</v>
      </c>
      <c r="C10" s="5">
        <v>536.613519091847</v>
      </c>
      <c r="D10" s="5">
        <f>SQRT((B10-'L1'!B10)^2+(C10-'L1'!C10)^2)</f>
        <v>0.185912611744398</v>
      </c>
      <c r="E10" s="5">
        <v>854.647139317418</v>
      </c>
      <c r="F10" s="5">
        <v>536.613378877242</v>
      </c>
      <c r="G10" s="5">
        <f>SQRT((E10-'L1'!B10)^2+(F10-'L1'!C10)^2)</f>
        <v>0.185754538396484</v>
      </c>
    </row>
    <row r="11" spans="1:7">
      <c r="A11" s="1">
        <v>205</v>
      </c>
      <c r="B11" s="5">
        <v>850.908324733402</v>
      </c>
      <c r="C11" s="5">
        <v>539.053147574819</v>
      </c>
      <c r="D11" s="5">
        <f>SQRT((B11-'L1'!B11)^2+(C11-'L1'!C11)^2)</f>
        <v>0.10596706665264</v>
      </c>
      <c r="E11" s="5">
        <v>850.908416238137</v>
      </c>
      <c r="F11" s="5">
        <v>539.053287789425</v>
      </c>
      <c r="G11" s="5">
        <f>SQRT((E11-'L1'!B11)^2+(F11-'L1'!C11)^2)</f>
        <v>0.105958359456848</v>
      </c>
    </row>
    <row r="12" spans="1:7">
      <c r="A12" s="1">
        <v>225</v>
      </c>
      <c r="B12" s="5">
        <v>847.169418644651</v>
      </c>
      <c r="C12" s="5">
        <v>541.492776057791</v>
      </c>
      <c r="D12" s="5">
        <f>SQRT((B12-'L1'!B12)^2+(C12-'L1'!C12)^2)</f>
        <v>0.521086288715682</v>
      </c>
      <c r="E12" s="5">
        <v>847.169693158857</v>
      </c>
      <c r="F12" s="5">
        <v>541.493196701608</v>
      </c>
      <c r="G12" s="5">
        <f>SQRT((E12-'L1'!B12)^2+(F12-'L1'!C12)^2)</f>
        <v>0.521573345407762</v>
      </c>
    </row>
    <row r="13" spans="1:7">
      <c r="A13" s="1">
        <v>245</v>
      </c>
      <c r="B13" s="5">
        <v>843.430512555899</v>
      </c>
      <c r="C13" s="5">
        <v>543.932404540764</v>
      </c>
      <c r="D13" s="5">
        <f>SQRT((B13-'L1'!B13)^2+(C13-'L1'!C13)^2)</f>
        <v>0.610175997282732</v>
      </c>
      <c r="E13" s="5">
        <v>843.430970079576</v>
      </c>
      <c r="F13" s="5">
        <v>543.933105613792</v>
      </c>
      <c r="G13" s="5">
        <f>SQRT((E13-'L1'!B13)^2+(F13-'L1'!C13)^2)</f>
        <v>0.610995648256113</v>
      </c>
    </row>
    <row r="14" spans="1:7">
      <c r="A14" s="1">
        <v>265</v>
      </c>
      <c r="B14" s="5">
        <v>839.691606467148</v>
      </c>
      <c r="C14" s="5">
        <v>546.372033023736</v>
      </c>
      <c r="D14" s="5">
        <f>SQRT((B14-'L1'!B14)^2+(C14-'L1'!C14)^2)</f>
        <v>0.483234044594445</v>
      </c>
      <c r="E14" s="5">
        <v>839.692247000295</v>
      </c>
      <c r="F14" s="5">
        <v>546.373014525975</v>
      </c>
      <c r="G14" s="5">
        <f>SQRT((E14-'L1'!B14)^2+(F14-'L1'!C14)^2)</f>
        <v>0.483582201301707</v>
      </c>
    </row>
    <row r="15" spans="1:7">
      <c r="A15" s="1">
        <v>285</v>
      </c>
      <c r="B15" s="5">
        <v>835.952700378397</v>
      </c>
      <c r="C15" s="5">
        <v>548.811661506708</v>
      </c>
      <c r="D15" s="5">
        <f>SQRT((B15-'L1'!B15)^2+(C15-'L1'!C15)^2)</f>
        <v>0.194187132064121</v>
      </c>
      <c r="E15" s="5">
        <v>835.953523921014</v>
      </c>
      <c r="F15" s="5">
        <v>548.812923438158</v>
      </c>
      <c r="G15" s="5">
        <f>SQRT((E15-'L1'!B15)^2+(F15-'L1'!C15)^2)</f>
        <v>0.192763237959237</v>
      </c>
    </row>
    <row r="16" spans="1:7">
      <c r="A16" s="1">
        <v>305</v>
      </c>
      <c r="B16" s="5">
        <v>832.213794289646</v>
      </c>
      <c r="C16" s="5">
        <v>551.25128998968</v>
      </c>
      <c r="D16" s="5">
        <f>SQRT((B16-'L1'!B16)^2+(C16-'L1'!C16)^2)</f>
        <v>0.327970528429927</v>
      </c>
      <c r="E16" s="5">
        <v>832.214800841734</v>
      </c>
      <c r="F16" s="5">
        <v>551.252832350341</v>
      </c>
      <c r="G16" s="5">
        <f>SQRT((E16-'L1'!B16)^2+(F16-'L1'!C16)^2)</f>
        <v>0.327461827771715</v>
      </c>
    </row>
    <row r="17" spans="1:7">
      <c r="A17" s="1">
        <v>325</v>
      </c>
      <c r="B17" s="5">
        <v>828.474888200894</v>
      </c>
      <c r="C17" s="5">
        <v>553.690918472652</v>
      </c>
      <c r="D17" s="5">
        <f>SQRT((B17-'L1'!B17)^2+(C17-'L1'!C17)^2)</f>
        <v>0.310099972592874</v>
      </c>
      <c r="E17" s="5">
        <v>828.476077762453</v>
      </c>
      <c r="F17" s="5">
        <v>553.692741262525</v>
      </c>
      <c r="G17" s="5">
        <f>SQRT((E17-'L1'!B17)^2+(F17-'L1'!C17)^2)</f>
        <v>0.308188587076107</v>
      </c>
    </row>
    <row r="18" spans="1:7">
      <c r="A18" s="1">
        <v>345</v>
      </c>
      <c r="B18" s="5">
        <v>824.735982112143</v>
      </c>
      <c r="C18" s="5">
        <v>556.130546955624</v>
      </c>
      <c r="D18" s="5">
        <f>SQRT((B18-'L1'!B18)^2+(C18-'L1'!C18)^2)</f>
        <v>0.454093599500305</v>
      </c>
      <c r="E18" s="5">
        <v>824.737354683172</v>
      </c>
      <c r="F18" s="5">
        <v>556.132650174708</v>
      </c>
      <c r="G18" s="5">
        <f>SQRT((E18-'L1'!B18)^2+(F18-'L1'!C18)^2)</f>
        <v>0.451584384798342</v>
      </c>
    </row>
    <row r="19" spans="1:7">
      <c r="A19" s="1">
        <v>365</v>
      </c>
      <c r="B19" s="5">
        <v>820.997076023392</v>
      </c>
      <c r="C19" s="5">
        <v>558.570175438596</v>
      </c>
      <c r="D19" s="5">
        <f>SQRT((B19-'L1'!B19)^2+(C19-'L1'!C19)^2)</f>
        <v>0.429834506787568</v>
      </c>
      <c r="E19" s="5">
        <v>820.998631603891</v>
      </c>
      <c r="F19" s="5">
        <v>558.572559086891</v>
      </c>
      <c r="G19" s="5">
        <f>SQRT((E19-'L1'!B19)^2+(F19-'L1'!C19)^2)</f>
        <v>0.427443103473829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9" zoomScaleNormal="79" workbookViewId="0">
      <selection activeCell="E12" sqref="E12"/>
    </sheetView>
  </sheetViews>
  <sheetFormatPr defaultColWidth="9" defaultRowHeight="14.4"/>
  <cols>
    <col min="1" max="1" width="15.5277777777778" style="1" customWidth="1"/>
    <col min="2" max="6" width="12.8888888888889" style="1"/>
    <col min="7" max="10" width="14.1111111111111" style="1"/>
    <col min="11" max="11" width="9" style="1"/>
    <col min="12" max="13" width="14.1111111111111" style="1"/>
    <col min="14" max="14" width="13.1111111111111" style="1" customWidth="1"/>
    <col min="15" max="16" width="14.1111111111111" style="1"/>
    <col min="17" max="16384" width="9" style="1"/>
  </cols>
  <sheetData>
    <row r="1" s="1" customFormat="1" spans="1:1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G1" s="2" t="s">
        <v>0</v>
      </c>
      <c r="H1" s="1" t="s">
        <v>19</v>
      </c>
      <c r="I1" s="1" t="s">
        <v>20</v>
      </c>
      <c r="J1" s="1" t="s">
        <v>21</v>
      </c>
      <c r="L1" s="1" t="s">
        <v>52</v>
      </c>
      <c r="M1" s="1" t="s">
        <v>53</v>
      </c>
      <c r="N1" s="1"/>
      <c r="O1" s="1" t="s">
        <v>54</v>
      </c>
      <c r="P1" s="1" t="s">
        <v>55</v>
      </c>
    </row>
    <row r="2" spans="1:16">
      <c r="A2" s="1" t="s">
        <v>56</v>
      </c>
      <c r="B2" s="3">
        <v>0.0863602</v>
      </c>
      <c r="C2" s="4">
        <v>0.0384723</v>
      </c>
      <c r="D2" s="4">
        <v>0.995521</v>
      </c>
      <c r="E2" s="4">
        <v>-26.9584</v>
      </c>
      <c r="F2" s="3"/>
      <c r="G2" s="1">
        <v>25</v>
      </c>
      <c r="H2" s="1">
        <f>'L2'!H2*COS(ATAN2($C$2,$B$2))-'L2'!I2*SIN(ATAN2($C$2,$B$2))</f>
        <v>37.5518708493067</v>
      </c>
      <c r="I2" s="1">
        <f>('L2'!H2*SIN(ATAN2($C$2,$B$2))+'L2'!I2*COS(ATAN2($C$2,$B$2)))*COS(ATAN2(SQRT($B$2^2+$C$2^2),-$D$2))-'L2'!J2*SIN(ATAN2(SQRT($B$2^2+$C$2^2),-$D$2))</f>
        <v>27.5451356774842</v>
      </c>
      <c r="J2" s="1">
        <f>('L2'!H2*SIN(ATAN2($C$2,$B$2))+'L2'!I2*COS(ATAN2($C$2,$B$2)))*SIN(ATAN2(SQRT($B$2^2+$C$2^2),-$D$2))+'L2'!J2*COS(ATAN2(SQRT($B$2^2+$C$2^2),-$D$2))</f>
        <v>9.03748284789415</v>
      </c>
      <c r="L2" s="1">
        <f>'L2'!B2*COS(ATAN2($C$3,$B$3))-'L2'!C2*SIN(ATAN2($C$3,$B$3))</f>
        <v>35.8845149077707</v>
      </c>
      <c r="M2" s="1">
        <f>('L2'!B2*SIN(ATAN2($C$3,$B$3))+'L2'!C2*COS(ATAN2($C$3,$B$3)))*COS(ATAN2(SQRT($B$3^2+$C$3^2),-$D$3))-'L2'!D2*SIN(ATAN2(SQRT($B$3^2+$C$3^2),-$D$3))</f>
        <v>30.5971501314081</v>
      </c>
      <c r="O2" s="1">
        <f>'L2'!B2*COS(ATAN2($C$4,$B$4))-'L2'!C2*SIN(ATAN2($C$4,$B$4))</f>
        <v>35.9498521970467</v>
      </c>
      <c r="P2" s="1">
        <f>('L2'!B2*SIN(ATAN2($C$4,$B$4))+'L2'!C2*COS(ATAN2($C$4,$B$4)))*COS(ATAN2(SQRT($B$4^2+$C$4^2),-$D$4))-'L2'!D2*SIN(ATAN2(SQRT($B$4^2+$C$4^2),-$D$4))</f>
        <v>30.5508991459797</v>
      </c>
    </row>
    <row r="3" spans="1:16">
      <c r="A3" s="1" t="s">
        <v>57</v>
      </c>
      <c r="B3" s="3">
        <v>0.157773</v>
      </c>
      <c r="C3" s="4">
        <v>-0.00187582</v>
      </c>
      <c r="D3" s="4">
        <v>0.987474</v>
      </c>
      <c r="E3" s="4">
        <v>-29.6533</v>
      </c>
      <c r="F3" s="4"/>
      <c r="G3" s="1">
        <v>45</v>
      </c>
      <c r="H3" s="1">
        <f>'L2'!H3*COS(ATAN2($C$2,$B$2))-'L2'!I3*SIN(ATAN2($C$2,$B$2))</f>
        <v>38.8752401167859</v>
      </c>
      <c r="I3" s="1">
        <f>('L2'!H3*SIN(ATAN2($C$2,$B$2))+'L2'!I3*COS(ATAN2($C$2,$B$2)))*COS(ATAN2(SQRT($B$2^2+$C$2^2),-$D$2))-'L2'!J3*SIN(ATAN2(SQRT($B$2^2+$C$2^2),-$D$2))</f>
        <v>26.745727778357</v>
      </c>
      <c r="J3" s="1">
        <f>('L2'!H3*SIN(ATAN2($C$2,$B$2))+'L2'!I3*COS(ATAN2($C$2,$B$2)))*SIN(ATAN2(SQRT($B$2^2+$C$2^2),-$D$2))+'L2'!J3*COS(ATAN2(SQRT($B$2^2+$C$2^2),-$D$2))</f>
        <v>4.89237687308159</v>
      </c>
      <c r="L3" s="1">
        <f>'L2'!B3*COS(ATAN2($C$3,$B$3))-'L2'!C3*SIN(ATAN2($C$3,$B$3))</f>
        <v>35.8369608285804</v>
      </c>
      <c r="M3" s="1">
        <f>('L2'!B3*SIN(ATAN2($C$3,$B$3))+'L2'!C3*COS(ATAN2($C$3,$B$3)))*COS(ATAN2(SQRT($B$3^2+$C$3^2),-$D$3))-'L2'!D3*SIN(ATAN2(SQRT($B$3^2+$C$3^2),-$D$3))</f>
        <v>29.6397029782784</v>
      </c>
      <c r="O3" s="1">
        <f>'L2'!B3*COS(ATAN2($C$4,$B$4))-'L2'!C3*SIN(ATAN2($C$4,$B$4))</f>
        <v>35.9289443984996</v>
      </c>
      <c r="P3" s="1">
        <f>('L2'!B3*SIN(ATAN2($C$4,$B$4))+'L2'!C3*COS(ATAN2($C$4,$B$4)))*COS(ATAN2(SQRT($B$4^2+$C$4^2),-$D$4))-'L2'!D3*SIN(ATAN2(SQRT($B$4^2+$C$4^2),-$D$4))</f>
        <v>29.5862794402994</v>
      </c>
    </row>
    <row r="4" spans="1:16">
      <c r="B4" s="1">
        <v>0.158025</v>
      </c>
      <c r="C4" s="1">
        <v>-0.000826</v>
      </c>
      <c r="D4" s="1">
        <v>1</v>
      </c>
      <c r="E4" s="4">
        <v>-29.955569</v>
      </c>
      <c r="F4" s="4"/>
      <c r="G4" s="1">
        <v>65</v>
      </c>
      <c r="H4" s="1">
        <f>'L2'!H4*COS(ATAN2($C$2,$B$2))-'L2'!I4*SIN(ATAN2($C$2,$B$2))</f>
        <v>39.1314806914079</v>
      </c>
      <c r="I4" s="1">
        <f>('L2'!H4*SIN(ATAN2($C$2,$B$2))+'L2'!I4*COS(ATAN2($C$2,$B$2)))*COS(ATAN2(SQRT($B$2^2+$C$2^2),-$D$2))-'L2'!J4*SIN(ATAN2(SQRT($B$2^2+$C$2^2),-$D$2))</f>
        <v>26.7451004812523</v>
      </c>
      <c r="J4" s="1">
        <f>('L2'!H4*SIN(ATAN2($C$2,$B$2))+'L2'!I4*COS(ATAN2($C$2,$B$2)))*SIN(ATAN2(SQRT($B$2^2+$C$2^2),-$D$2))+'L2'!J4*COS(ATAN2(SQRT($B$2^2+$C$2^2),-$D$2))</f>
        <v>1.99509878093546</v>
      </c>
      <c r="L4" s="1">
        <f>'L2'!B4*COS(ATAN2($C$3,$B$3))-'L2'!C4*SIN(ATAN2($C$3,$B$3))</f>
        <v>35.3072748645608</v>
      </c>
      <c r="M4" s="1">
        <f>('L2'!B4*SIN(ATAN2($C$3,$B$3))+'L2'!C4*COS(ATAN2($C$3,$B$3)))*COS(ATAN2(SQRT($B$3^2+$C$3^2),-$D$3))-'L2'!D4*SIN(ATAN2(SQRT($B$3^2+$C$3^2),-$D$3))</f>
        <v>29.3495555866634</v>
      </c>
      <c r="O4" s="1">
        <f>'L2'!B4*COS(ATAN2($C$4,$B$4))-'L2'!C4*SIN(ATAN2($C$4,$B$4))</f>
        <v>35.415883854705</v>
      </c>
      <c r="P4" s="1">
        <f>('L2'!B4*SIN(ATAN2($C$4,$B$4))+'L2'!C4*COS(ATAN2($C$4,$B$4)))*COS(ATAN2(SQRT($B$4^2+$C$4^2),-$D$4))-'L2'!D4*SIN(ATAN2(SQRT($B$4^2+$C$4^2),-$D$4))</f>
        <v>29.2922634575459</v>
      </c>
    </row>
    <row r="5" spans="1:16">
      <c r="C5" s="4"/>
      <c r="D5" s="4"/>
      <c r="E5" s="4"/>
      <c r="F5" s="4"/>
      <c r="G5" s="1">
        <v>85</v>
      </c>
      <c r="H5" s="1">
        <f>'L2'!H5*COS(ATAN2($C$2,$B$2))-'L2'!I5*SIN(ATAN2($C$2,$B$2))</f>
        <v>39.1344588684106</v>
      </c>
      <c r="I5" s="1">
        <f>('L2'!H5*SIN(ATAN2($C$2,$B$2))+'L2'!I5*COS(ATAN2($C$2,$B$2)))*COS(ATAN2(SQRT($B$2^2+$C$2^2),-$D$2))-'L2'!J5*SIN(ATAN2(SQRT($B$2^2+$C$2^2),-$D$2))</f>
        <v>26.769476112824</v>
      </c>
      <c r="J5" s="1">
        <f>('L2'!H5*SIN(ATAN2($C$2,$B$2))+'L2'!I5*COS(ATAN2($C$2,$B$2)))*SIN(ATAN2(SQRT($B$2^2+$C$2^2),-$D$2))+'L2'!J5*COS(ATAN2(SQRT($B$2^2+$C$2^2),-$D$2))</f>
        <v>-1.56297079998958</v>
      </c>
      <c r="L5" s="1">
        <f>'L2'!B5*COS(ATAN2($C$3,$B$3))-'L2'!C5*SIN(ATAN2($C$3,$B$3))</f>
        <v>33.7598267917936</v>
      </c>
      <c r="M5" s="1">
        <f>('L2'!B5*SIN(ATAN2($C$3,$B$3))+'L2'!C5*COS(ATAN2($C$3,$B$3)))*COS(ATAN2(SQRT($B$3^2+$C$3^2),-$D$3))-'L2'!D5*SIN(ATAN2(SQRT($B$3^2+$C$3^2),-$D$3))</f>
        <v>29.24349688588</v>
      </c>
      <c r="O5" s="1">
        <f>'L2'!B5*COS(ATAN2($C$4,$B$4))-'L2'!C5*SIN(ATAN2($C$4,$B$4))</f>
        <v>33.8949965470498</v>
      </c>
      <c r="P5" s="1">
        <f>('L2'!B5*SIN(ATAN2($C$4,$B$4))+'L2'!C5*COS(ATAN2($C$4,$B$4)))*COS(ATAN2(SQRT($B$4^2+$C$4^2),-$D$4))-'L2'!D5*SIN(ATAN2(SQRT($B$4^2+$C$4^2),-$D$4))</f>
        <v>29.1808549636835</v>
      </c>
    </row>
    <row r="6" spans="1:16">
      <c r="G6" s="1">
        <v>105</v>
      </c>
      <c r="H6" s="1">
        <f>'L2'!H6*COS(ATAN2($C$2,$B$2))-'L2'!I6*SIN(ATAN2($C$2,$B$2))</f>
        <v>38.6807080739839</v>
      </c>
      <c r="I6" s="1">
        <f>('L2'!H6*SIN(ATAN2($C$2,$B$2))+'L2'!I6*COS(ATAN2($C$2,$B$2)))*COS(ATAN2(SQRT($B$2^2+$C$2^2),-$D$2))-'L2'!J6*SIN(ATAN2(SQRT($B$2^2+$C$2^2),-$D$2))</f>
        <v>26.9471925942159</v>
      </c>
      <c r="J6" s="1">
        <f>('L2'!H6*SIN(ATAN2($C$2,$B$2))+'L2'!I6*COS(ATAN2($C$2,$B$2)))*SIN(ATAN2(SQRT($B$2^2+$C$2^2),-$D$2))+'L2'!J6*COS(ATAN2(SQRT($B$2^2+$C$2^2),-$D$2))</f>
        <v>-5.31086002314791</v>
      </c>
      <c r="L6" s="1">
        <f>'L2'!B6*COS(ATAN2($C$3,$B$3))-'L2'!C6*SIN(ATAN2($C$3,$B$3))</f>
        <v>32.2242672388239</v>
      </c>
      <c r="M6" s="1">
        <f>('L2'!B6*SIN(ATAN2($C$3,$B$3))+'L2'!C6*COS(ATAN2($C$3,$B$3)))*COS(ATAN2(SQRT($B$3^2+$C$3^2),-$D$3))-'L2'!D6*SIN(ATAN2(SQRT($B$3^2+$C$3^2),-$D$3))</f>
        <v>29.1601230450425</v>
      </c>
      <c r="O6" s="1">
        <f>'L2'!B6*COS(ATAN2($C$4,$B$4))-'L2'!C6*SIN(ATAN2($C$4,$B$4))</f>
        <v>32.3793361890314</v>
      </c>
      <c r="P6" s="1">
        <f>('L2'!B6*SIN(ATAN2($C$4,$B$4))+'L2'!C6*COS(ATAN2($C$4,$B$4)))*COS(ATAN2(SQRT($B$4^2+$C$4^2),-$D$4))-'L2'!D6*SIN(ATAN2(SQRT($B$4^2+$C$4^2),-$D$4))</f>
        <v>29.0938654047332</v>
      </c>
    </row>
    <row r="7" spans="1:16">
      <c r="C7" s="3"/>
      <c r="D7" s="3"/>
      <c r="E7" s="3"/>
      <c r="F7" s="3"/>
      <c r="G7" s="1">
        <v>125</v>
      </c>
      <c r="H7" s="1">
        <f>'L2'!H7*COS(ATAN2($C$2,$B$2))-'L2'!I7*SIN(ATAN2($C$2,$B$2))</f>
        <v>37.7702283081298</v>
      </c>
      <c r="I7" s="1">
        <f>('L2'!H7*SIN(ATAN2($C$2,$B$2))+'L2'!I7*COS(ATAN2($C$2,$B$2)))*COS(ATAN2(SQRT($B$2^2+$C$2^2),-$D$2))-'L2'!J7*SIN(ATAN2(SQRT($B$2^2+$C$2^2),-$D$2))</f>
        <v>27.1705375759781</v>
      </c>
      <c r="J7" s="1">
        <f>('L2'!H7*SIN(ATAN2($C$2,$B$2))+'L2'!I7*COS(ATAN2($C$2,$B$2)))*SIN(ATAN2(SQRT($B$2^2+$C$2^2),-$D$2))+'L2'!J7*COS(ATAN2(SQRT($B$2^2+$C$2^2),-$D$2))</f>
        <v>-9.25879805288526</v>
      </c>
      <c r="L7" s="1">
        <f>'L2'!B7*COS(ATAN2($C$3,$B$3))-'L2'!C7*SIN(ATAN2($C$3,$B$3))</f>
        <v>29.6828340969042</v>
      </c>
      <c r="M7" s="1">
        <f>('L2'!B7*SIN(ATAN2($C$3,$B$3))+'L2'!C7*COS(ATAN2($C$3,$B$3)))*COS(ATAN2(SQRT($B$3^2+$C$3^2),-$D$3))-'L2'!D7*SIN(ATAN2(SQRT($B$3^2+$C$3^2),-$D$3))</f>
        <v>29.3801203464063</v>
      </c>
      <c r="O7" s="1">
        <f>'L2'!B7*COS(ATAN2($C$4,$B$4))-'L2'!C7*SIN(ATAN2($C$4,$B$4))</f>
        <v>29.8610760167891</v>
      </c>
      <c r="P7" s="1">
        <f>('L2'!B7*SIN(ATAN2($C$4,$B$4))+'L2'!C7*COS(ATAN2($C$4,$B$4)))*COS(ATAN2(SQRT($B$4^2+$C$4^2),-$D$4))-'L2'!D7*SIN(ATAN2(SQRT($B$4^2+$C$4^2),-$D$4))</f>
        <v>29.3105261921941</v>
      </c>
    </row>
    <row r="8" spans="1:16">
      <c r="C8" s="4"/>
      <c r="D8" s="4"/>
      <c r="E8" s="4"/>
      <c r="F8" s="4"/>
      <c r="G8" s="1">
        <v>145</v>
      </c>
      <c r="H8" s="1">
        <f>'L2'!H8*COS(ATAN2($C$2,$B$2))-'L2'!I8*SIN(ATAN2($C$2,$B$2))</f>
        <v>37.1130109398945</v>
      </c>
      <c r="I8" s="1">
        <f>('L2'!H8*SIN(ATAN2($C$2,$B$2))+'L2'!I8*COS(ATAN2($C$2,$B$2)))*COS(ATAN2(SQRT($B$2^2+$C$2^2),-$D$2))-'L2'!J8*SIN(ATAN2(SQRT($B$2^2+$C$2^2),-$D$2))</f>
        <v>26.7252667800205</v>
      </c>
      <c r="J8" s="1">
        <f>('L2'!H8*SIN(ATAN2($C$2,$B$2))+'L2'!I8*COS(ATAN2($C$2,$B$2)))*SIN(ATAN2(SQRT($B$2^2+$C$2^2),-$D$2))+'L2'!J8*COS(ATAN2(SQRT($B$2^2+$C$2^2),-$D$2))</f>
        <v>-12.6070668480818</v>
      </c>
      <c r="L8" s="1">
        <f>'L2'!B8*COS(ATAN2($C$3,$B$3))-'L2'!C8*SIN(ATAN2($C$3,$B$3))</f>
        <v>27.6591983992064</v>
      </c>
      <c r="M8" s="1">
        <f>('L2'!B8*SIN(ATAN2($C$3,$B$3))+'L2'!C8*COS(ATAN2($C$3,$B$3)))*COS(ATAN2(SQRT($B$3^2+$C$3^2),-$D$3))-'L2'!D8*SIN(ATAN2(SQRT($B$3^2+$C$3^2),-$D$3))</f>
        <v>29.8079942642832</v>
      </c>
      <c r="O8" s="1">
        <f>'L2'!B8*COS(ATAN2($C$4,$B$4))-'L2'!C8*SIN(ATAN2($C$4,$B$4))</f>
        <v>27.8506494387047</v>
      </c>
      <c r="P8" s="1">
        <f>('L2'!B8*SIN(ATAN2($C$4,$B$4))+'L2'!C8*COS(ATAN2($C$4,$B$4)))*COS(ATAN2(SQRT($B$4^2+$C$4^2),-$D$4))-'L2'!D8*SIN(ATAN2(SQRT($B$4^2+$C$4^2),-$D$4))</f>
        <v>29.7371818700338</v>
      </c>
    </row>
    <row r="9" spans="1:16">
      <c r="C9" s="4"/>
      <c r="D9" s="4"/>
      <c r="E9" s="4"/>
      <c r="F9" s="4"/>
      <c r="G9" s="1">
        <v>165</v>
      </c>
      <c r="H9" s="1">
        <f>'L2'!H9*COS(ATAN2($C$2,$B$2))-'L2'!I9*SIN(ATAN2($C$2,$B$2))</f>
        <v>35.9990646002306</v>
      </c>
      <c r="I9" s="1">
        <f>('L2'!H9*SIN(ATAN2($C$2,$B$2))+'L2'!I9*COS(ATAN2($C$2,$B$2)))*COS(ATAN2(SQRT($B$2^2+$C$2^2),-$D$2))-'L2'!J9*SIN(ATAN2(SQRT($B$2^2+$C$2^2),-$D$2))</f>
        <v>26.3374401962207</v>
      </c>
      <c r="J9" s="1">
        <f>('L2'!H9*SIN(ATAN2($C$2,$B$2))+'L2'!I9*COS(ATAN2($C$2,$B$2)))*SIN(ATAN2(SQRT($B$2^2+$C$2^2),-$D$2))+'L2'!J9*COS(ATAN2(SQRT($B$2^2+$C$2^2),-$D$2))</f>
        <v>-16.1542623421473</v>
      </c>
      <c r="L9" s="1">
        <f>'L2'!B9*COS(ATAN2($C$3,$B$3))-'L2'!C9*SIN(ATAN2($C$3,$B$3))</f>
        <v>25.6236741817111</v>
      </c>
      <c r="M9" s="1">
        <f>('L2'!B9*SIN(ATAN2($C$3,$B$3))+'L2'!C9*COS(ATAN2($C$3,$B$3)))*COS(ATAN2(SQRT($B$3^2+$C$3^2),-$D$3))-'L2'!D9*SIN(ATAN2(SQRT($B$3^2+$C$3^2),-$D$3))</f>
        <v>28.847313317116</v>
      </c>
      <c r="O9" s="1">
        <f>'L2'!B9*COS(ATAN2($C$4,$B$4))-'L2'!C9*SIN(ATAN2($C$4,$B$4))</f>
        <v>25.8349959109836</v>
      </c>
      <c r="P9" s="1">
        <f>('L2'!B9*SIN(ATAN2($C$4,$B$4))+'L2'!C9*COS(ATAN2($C$4,$B$4)))*COS(ATAN2(SQRT($B$4^2+$C$4^2),-$D$4))-'L2'!D9*SIN(ATAN2(SQRT($B$4^2+$C$4^2),-$D$4))</f>
        <v>28.7731762903532</v>
      </c>
    </row>
    <row r="10" spans="1:16">
      <c r="C10" s="4"/>
      <c r="D10" s="4"/>
      <c r="E10" s="4"/>
      <c r="F10" s="4"/>
      <c r="G10" s="1">
        <v>185</v>
      </c>
      <c r="H10" s="1">
        <f>'L2'!H10*COS(ATAN2($C$2,$B$2))-'L2'!I10*SIN(ATAN2($C$2,$B$2))</f>
        <v>34.224922715329</v>
      </c>
      <c r="I10" s="1">
        <f>('L2'!H10*SIN(ATAN2($C$2,$B$2))+'L2'!I10*COS(ATAN2($C$2,$B$2)))*COS(ATAN2(SQRT($B$2^2+$C$2^2),-$D$2))-'L2'!J10*SIN(ATAN2(SQRT($B$2^2+$C$2^2),-$D$2))</f>
        <v>26.5162265042296</v>
      </c>
      <c r="J10" s="1">
        <f>('L2'!H10*SIN(ATAN2($C$2,$B$2))+'L2'!I10*COS(ATAN2($C$2,$B$2)))*SIN(ATAN2(SQRT($B$2^2+$C$2^2),-$D$2))+'L2'!J10*COS(ATAN2(SQRT($B$2^2+$C$2^2),-$D$2))</f>
        <v>-19.3932461724733</v>
      </c>
      <c r="L10" s="1">
        <f>'L2'!B10*COS(ATAN2($C$3,$B$3))-'L2'!C10*SIN(ATAN2($C$3,$B$3))</f>
        <v>22.0942002305375</v>
      </c>
      <c r="M10" s="1">
        <f>('L2'!B10*SIN(ATAN2($C$3,$B$3))+'L2'!C10*COS(ATAN2($C$3,$B$3)))*COS(ATAN2(SQRT($B$3^2+$C$3^2),-$D$3))-'L2'!D10*SIN(ATAN2(SQRT($B$3^2+$C$3^2),-$D$3))</f>
        <v>29.3576299662944</v>
      </c>
      <c r="O10" s="1">
        <f>'L2'!B10*COS(ATAN2($C$4,$B$4))-'L2'!C10*SIN(ATAN2($C$4,$B$4))</f>
        <v>22.3219763489726</v>
      </c>
      <c r="P10" s="1">
        <f>('L2'!B10*SIN(ATAN2($C$4,$B$4))+'L2'!C10*COS(ATAN2($C$4,$B$4)))*COS(ATAN2(SQRT($B$4^2+$C$4^2),-$D$4))-'L2'!D10*SIN(ATAN2(SQRT($B$4^2+$C$4^2),-$D$4))</f>
        <v>29.2830239091722</v>
      </c>
    </row>
    <row r="11" spans="1:16">
      <c r="G11" s="1">
        <v>205</v>
      </c>
      <c r="H11" s="1">
        <f>'L2'!H11*COS(ATAN2($C$2,$B$2))-'L2'!I11*SIN(ATAN2($C$2,$B$2))</f>
        <v>31.790585285189</v>
      </c>
      <c r="I11" s="1">
        <f>('L2'!H11*SIN(ATAN2($C$2,$B$2))+'L2'!I11*COS(ATAN2($C$2,$B$2)))*COS(ATAN2(SQRT($B$2^2+$C$2^2),-$D$2))-'L2'!J11*SIN(ATAN2(SQRT($B$2^2+$C$2^2),-$D$2))</f>
        <v>27.2288746500686</v>
      </c>
      <c r="J11" s="1">
        <f>('L2'!H11*SIN(ATAN2($C$2,$B$2))+'L2'!I11*COS(ATAN2($C$2,$B$2)))*SIN(ATAN2(SQRT($B$2^2+$C$2^2),-$D$2))+'L2'!J11*COS(ATAN2(SQRT($B$2^2+$C$2^2),-$D$2))</f>
        <v>-22.3271286222832</v>
      </c>
      <c r="L11" s="1">
        <f>'L2'!B11*COS(ATAN2($C$3,$B$3))-'L2'!C11*SIN(ATAN2($C$3,$B$3))</f>
        <v>18.5766147991616</v>
      </c>
      <c r="M11" s="1">
        <f>('L2'!B11*SIN(ATAN2($C$3,$B$3))+'L2'!C11*COS(ATAN2($C$3,$B$3)))*COS(ATAN2(SQRT($B$3^2+$C$3^2),-$D$3))-'L2'!D11*SIN(ATAN2(SQRT($B$3^2+$C$3^2),-$D$3))</f>
        <v>30.4082688974515</v>
      </c>
      <c r="O11" s="1">
        <f>'L2'!B11*COS(ATAN2($C$4,$B$4))-'L2'!C11*SIN(ATAN2($C$4,$B$4))</f>
        <v>18.8141837365984</v>
      </c>
      <c r="P11" s="1">
        <f>('L2'!B11*SIN(ATAN2($C$4,$B$4))+'L2'!C11*COS(ATAN2($C$4,$B$4)))*COS(ATAN2(SQRT($B$4^2+$C$4^2),-$D$4))-'L2'!D11*SIN(ATAN2(SQRT($B$4^2+$C$4^2),-$D$4))</f>
        <v>30.3350689858281</v>
      </c>
    </row>
    <row r="12" spans="1:16">
      <c r="G12" s="1">
        <v>225</v>
      </c>
      <c r="H12" s="1">
        <f>'L2'!H12*COS(ATAN2($C$2,$B$2))-'L2'!I12*SIN(ATAN2($C$2,$B$2))</f>
        <v>29.356247855049</v>
      </c>
      <c r="I12" s="1">
        <f>('L2'!H12*SIN(ATAN2($C$2,$B$2))+'L2'!I12*COS(ATAN2($C$2,$B$2)))*COS(ATAN2(SQRT($B$2^2+$C$2^2),-$D$2))-'L2'!J12*SIN(ATAN2(SQRT($B$2^2+$C$2^2),-$D$2))</f>
        <v>27.3456277404456</v>
      </c>
      <c r="J12" s="1">
        <f>('L2'!H12*SIN(ATAN2($C$2,$B$2))+'L2'!I12*COS(ATAN2($C$2,$B$2)))*SIN(ATAN2(SQRT($B$2^2+$C$2^2),-$D$2))+'L2'!J12*COS(ATAN2(SQRT($B$2^2+$C$2^2),-$D$2))</f>
        <v>-25.3176016904031</v>
      </c>
      <c r="L12" s="1">
        <f>'L2'!B12*COS(ATAN2($C$3,$B$3))-'L2'!C12*SIN(ATAN2($C$3,$B$3))</f>
        <v>15.5530497724125</v>
      </c>
      <c r="M12" s="1">
        <f>('L2'!B12*SIN(ATAN2($C$3,$B$3))+'L2'!C12*COS(ATAN2($C$3,$B$3)))*COS(ATAN2(SQRT($B$3^2+$C$3^2),-$D$3))-'L2'!D12*SIN(ATAN2(SQRT($B$3^2+$C$3^2),-$D$3))</f>
        <v>29.8976424367853</v>
      </c>
      <c r="O12" s="1">
        <f>'L2'!B12*COS(ATAN2($C$4,$B$4))-'L2'!C12*SIN(ATAN2($C$4,$B$4))</f>
        <v>15.8037708191086</v>
      </c>
      <c r="P12" s="1">
        <f>('L2'!B12*SIN(ATAN2($C$4,$B$4))+'L2'!C12*COS(ATAN2($C$4,$B$4)))*COS(ATAN2(SQRT($B$4^2+$C$4^2),-$D$4))-'L2'!D12*SIN(ATAN2(SQRT($B$4^2+$C$4^2),-$D$4))</f>
        <v>29.8240289178094</v>
      </c>
    </row>
    <row r="13" spans="1:16">
      <c r="G13" s="1">
        <v>245</v>
      </c>
      <c r="H13" s="1">
        <f>'L2'!H13*COS(ATAN2($C$2,$B$2))-'L2'!I13*SIN(ATAN2($C$2,$B$2))</f>
        <v>26.7184438510991</v>
      </c>
      <c r="I13" s="1">
        <f>('L2'!H13*SIN(ATAN2($C$2,$B$2))+'L2'!I13*COS(ATAN2($C$2,$B$2)))*COS(ATAN2(SQRT($B$2^2+$C$2^2),-$D$2))-'L2'!J13*SIN(ATAN2(SQRT($B$2^2+$C$2^2),-$D$2))</f>
        <v>27.6012647904757</v>
      </c>
      <c r="J13" s="1">
        <f>('L2'!H13*SIN(ATAN2($C$2,$B$2))+'L2'!I13*COS(ATAN2($C$2,$B$2)))*SIN(ATAN2(SQRT($B$2^2+$C$2^2),-$D$2))+'L2'!J13*COS(ATAN2(SQRT($B$2^2+$C$2^2),-$D$2))</f>
        <v>-27.8361013818693</v>
      </c>
      <c r="L13" s="1">
        <f>'L2'!B13*COS(ATAN2($C$3,$B$3))-'L2'!C13*SIN(ATAN2($C$3,$B$3))</f>
        <v>12.0354643410365</v>
      </c>
      <c r="M13" s="1">
        <f>('L2'!B13*SIN(ATAN2($C$3,$B$3))+'L2'!C13*COS(ATAN2($C$3,$B$3)))*COS(ATAN2(SQRT($B$3^2+$C$3^2),-$D$3))-'L2'!D13*SIN(ATAN2(SQRT($B$3^2+$C$3^2),-$D$3))</f>
        <v>29.8204233095988</v>
      </c>
      <c r="O13" s="1">
        <f>'L2'!B13*COS(ATAN2($C$4,$B$4))-'L2'!C13*SIN(ATAN2($C$4,$B$4))</f>
        <v>12.2959782067344</v>
      </c>
      <c r="P13" s="1">
        <f>('L2'!B13*SIN(ATAN2($C$4,$B$4))+'L2'!C13*COS(ATAN2($C$4,$B$4)))*COS(ATAN2(SQRT($B$4^2+$C$4^2),-$D$4))-'L2'!D13*SIN(ATAN2(SQRT($B$4^2+$C$4^2),-$D$4))</f>
        <v>29.7479084974178</v>
      </c>
    </row>
    <row r="14" spans="1:16">
      <c r="G14" s="1">
        <v>265</v>
      </c>
      <c r="H14" s="1">
        <f>'L2'!H14*COS(ATAN2($C$2,$B$2))-'L2'!I14*SIN(ATAN2($C$2,$B$2))</f>
        <v>24.5373688185784</v>
      </c>
      <c r="I14" s="1">
        <f>('L2'!H14*SIN(ATAN2($C$2,$B$2))+'L2'!I14*COS(ATAN2($C$2,$B$2)))*COS(ATAN2(SQRT($B$2^2+$C$2^2),-$D$2))-'L2'!J14*SIN(ATAN2(SQRT($B$2^2+$C$2^2),-$D$2))</f>
        <v>27.114147761045</v>
      </c>
      <c r="J14" s="1">
        <f>('L2'!H14*SIN(ATAN2($C$2,$B$2))+'L2'!I14*COS(ATAN2($C$2,$B$2)))*SIN(ATAN2(SQRT($B$2^2+$C$2^2),-$D$2))+'L2'!J14*COS(ATAN2(SQRT($B$2^2+$C$2^2),-$D$2))</f>
        <v>-30.2207564871113</v>
      </c>
      <c r="L14" s="1">
        <f>'L2'!B14*COS(ATAN2($C$3,$B$3))-'L2'!C14*SIN(ATAN2($C$3,$B$3))</f>
        <v>9.02973209398376</v>
      </c>
      <c r="M14" s="1">
        <f>('L2'!B14*SIN(ATAN2($C$3,$B$3))+'L2'!C14*COS(ATAN2($C$3,$B$3)))*COS(ATAN2(SQRT($B$3^2+$C$3^2),-$D$3))-'L2'!D14*SIN(ATAN2(SQRT($B$3^2+$C$3^2),-$D$3))</f>
        <v>30.4389972634051</v>
      </c>
      <c r="O14" s="1">
        <f>'L2'!B14*COS(ATAN2($C$4,$B$4))-'L2'!C14*SIN(ATAN2($C$4,$B$4))</f>
        <v>9.2934057136997</v>
      </c>
      <c r="P14" s="1">
        <f>('L2'!B14*SIN(ATAN2($C$4,$B$4))+'L2'!C14*COS(ATAN2($C$4,$B$4)))*COS(ATAN2(SQRT($B$4^2+$C$4^2),-$D$4))-'L2'!D14*SIN(ATAN2(SQRT($B$4^2+$C$4^2),-$D$4))</f>
        <v>30.368968485558</v>
      </c>
    </row>
    <row r="15" spans="1:16">
      <c r="G15" s="1">
        <v>285</v>
      </c>
      <c r="H15" s="1">
        <f>'L2'!H15*COS(ATAN2($C$2,$B$2))-'L2'!I15*SIN(ATAN2($C$2,$B$2))</f>
        <v>21.6960982408196</v>
      </c>
      <c r="I15" s="1">
        <f>('L2'!H15*SIN(ATAN2($C$2,$B$2))+'L2'!I15*COS(ATAN2($C$2,$B$2)))*COS(ATAN2(SQRT($B$2^2+$C$2^2),-$D$2))-'L2'!J15*SIN(ATAN2(SQRT($B$2^2+$C$2^2),-$D$2))</f>
        <v>27.1361592332932</v>
      </c>
      <c r="J15" s="1">
        <f>('L2'!H15*SIN(ATAN2($C$2,$B$2))+'L2'!I15*COS(ATAN2($C$2,$B$2)))*SIN(ATAN2(SQRT($B$2^2+$C$2^2),-$D$2))+'L2'!J15*COS(ATAN2(SQRT($B$2^2+$C$2^2),-$D$2))</f>
        <v>-32.3026590730557</v>
      </c>
      <c r="L15" s="1">
        <f>'L2'!B15*COS(ATAN2($C$3,$B$3))-'L2'!C15*SIN(ATAN2($C$3,$B$3))</f>
        <v>5.01812625798092</v>
      </c>
      <c r="M15" s="1">
        <f>('L2'!B15*SIN(ATAN2($C$3,$B$3))+'L2'!C15*COS(ATAN2($C$3,$B$3)))*COS(ATAN2(SQRT($B$3^2+$C$3^2),-$D$3))-'L2'!D15*SIN(ATAN2(SQRT($B$3^2+$C$3^2),-$D$3))</f>
        <v>30.1827343340946</v>
      </c>
      <c r="O15" s="1">
        <f>'L2'!B15*COS(ATAN2($C$4,$B$4))-'L2'!C15*SIN(ATAN2($C$4,$B$4))</f>
        <v>5.28823340644118</v>
      </c>
      <c r="P15" s="1">
        <f>('L2'!B15*SIN(ATAN2($C$4,$B$4))+'L2'!C15*COS(ATAN2($C$4,$B$4)))*COS(ATAN2(SQRT($B$4^2+$C$4^2),-$D$4))-'L2'!D15*SIN(ATAN2(SQRT($B$4^2+$C$4^2),-$D$4))</f>
        <v>30.1151496313741</v>
      </c>
    </row>
    <row r="16" spans="1:16">
      <c r="G16" s="1">
        <v>305</v>
      </c>
      <c r="H16" s="1">
        <f>'L2'!H16*COS(ATAN2($C$2,$B$2))-'L2'!I16*SIN(ATAN2($C$2,$B$2))</f>
        <v>18.1946321178227</v>
      </c>
      <c r="I16" s="1">
        <f>('L2'!H16*SIN(ATAN2($C$2,$B$2))+'L2'!I16*COS(ATAN2($C$2,$B$2)))*COS(ATAN2(SQRT($B$2^2+$C$2^2),-$D$2))-'L2'!J16*SIN(ATAN2(SQRT($B$2^2+$C$2^2),-$D$2))</f>
        <v>27.5124857914732</v>
      </c>
      <c r="J16" s="1">
        <f>('L2'!H16*SIN(ATAN2($C$2,$B$2))+'L2'!I16*COS(ATAN2($C$2,$B$2)))*SIN(ATAN2(SQRT($B$2^2+$C$2^2),-$D$2))+'L2'!J16*COS(ATAN2(SQRT($B$2^2+$C$2^2),-$D$2))</f>
        <v>-34.0965113709758</v>
      </c>
      <c r="L16" s="1">
        <f>'L2'!B16*COS(ATAN2($C$3,$B$3))-'L2'!C16*SIN(ATAN2($C$3,$B$3))</f>
        <v>1.01246468187686</v>
      </c>
      <c r="M16" s="1">
        <f>('L2'!B16*SIN(ATAN2($C$3,$B$3))+'L2'!C16*COS(ATAN2($C$3,$B$3)))*COS(ATAN2(SQRT($B$3^2+$C$3^2),-$D$3))-'L2'!D16*SIN(ATAN2(SQRT($B$3^2+$C$3^2),-$D$3))</f>
        <v>29.9912856259764</v>
      </c>
      <c r="O16" s="1">
        <f>'L2'!B16*COS(ATAN2($C$4,$B$4))-'L2'!C16*SIN(ATAN2($C$4,$B$4))</f>
        <v>1.28567457400103</v>
      </c>
      <c r="P16" s="1">
        <f>('L2'!B16*SIN(ATAN2($C$4,$B$4))+'L2'!C16*COS(ATAN2($C$4,$B$4)))*COS(ATAN2(SQRT($B$4^2+$C$4^2),-$D$4))-'L2'!D16*SIN(ATAN2(SQRT($B$4^2+$C$4^2),-$D$4))</f>
        <v>29.9270266115456</v>
      </c>
    </row>
    <row r="17" spans="2:16">
      <c r="G17" s="1">
        <v>325</v>
      </c>
      <c r="H17" s="1">
        <f>'L2'!H17*COS(ATAN2($C$2,$B$2))-'L2'!I17*SIN(ATAN2($C$2,$B$2))</f>
        <v>15.3533615400643</v>
      </c>
      <c r="I17" s="1">
        <f>('L2'!H17*SIN(ATAN2($C$2,$B$2))+'L2'!I17*COS(ATAN2($C$2,$B$2)))*COS(ATAN2(SQRT($B$2^2+$C$2^2),-$D$2))-'L2'!J17*SIN(ATAN2(SQRT($B$2^2+$C$2^2),-$D$2))</f>
        <v>26.4257521763015</v>
      </c>
      <c r="J17" s="1">
        <f>('L2'!H17*SIN(ATAN2($C$2,$B$2))+'L2'!I17*COS(ATAN2($C$2,$B$2)))*SIN(ATAN2(SQRT($B$2^2+$C$2^2),-$D$2))+'L2'!J17*COS(ATAN2(SQRT($B$2^2+$C$2^2),-$D$2))</f>
        <v>-36.2837086215946</v>
      </c>
      <c r="L17" s="1">
        <f>'L2'!B17*COS(ATAN2($C$3,$B$3))-'L2'!C17*SIN(ATAN2($C$3,$B$3))</f>
        <v>-2.49323222970154</v>
      </c>
      <c r="M17" s="1">
        <f>('L2'!B17*SIN(ATAN2($C$3,$B$3))+'L2'!C17*COS(ATAN2($C$3,$B$3)))*COS(ATAN2(SQRT($B$3^2+$C$3^2),-$D$3))-'L2'!D17*SIN(ATAN2(SQRT($B$3^2+$C$3^2),-$D$3))</f>
        <v>29.1546775279477</v>
      </c>
      <c r="O17" s="1">
        <f>'L2'!B17*COS(ATAN2($C$4,$B$4))-'L2'!C17*SIN(ATAN2($C$4,$B$4))</f>
        <v>-2.21689108873639</v>
      </c>
      <c r="P17" s="1">
        <f>('L2'!B17*SIN(ATAN2($C$4,$B$4))+'L2'!C17*COS(ATAN2($C$4,$B$4)))*COS(ATAN2(SQRT($B$4^2+$C$4^2),-$D$4))-'L2'!D17*SIN(ATAN2(SQRT($B$4^2+$C$4^2),-$D$4))</f>
        <v>29.0930381126321</v>
      </c>
    </row>
    <row r="18" spans="2:16">
      <c r="G18" s="1">
        <v>345</v>
      </c>
      <c r="H18" s="1">
        <f>'L2'!H18*COS(ATAN2($C$2,$B$2))-'L2'!I18*SIN(ATAN2($C$2,$B$2))</f>
        <v>12.1051578146867</v>
      </c>
      <c r="I18" s="1">
        <f>('L2'!H18*SIN(ATAN2($C$2,$B$2))+'L2'!I18*COS(ATAN2($C$2,$B$2)))*COS(ATAN2(SQRT($B$2^2+$C$2^2),-$D$2))-'L2'!J18*SIN(ATAN2(SQRT($B$2^2+$C$2^2),-$D$2))</f>
        <v>26.4952993837756</v>
      </c>
      <c r="J18" s="1">
        <f>('L2'!H18*SIN(ATAN2($C$2,$B$2))+'L2'!I18*COS(ATAN2($C$2,$B$2)))*SIN(ATAN2(SQRT($B$2^2+$C$2^2),-$D$2))+'L2'!J18*COS(ATAN2(SQRT($B$2^2+$C$2^2),-$D$2))</f>
        <v>-37.4435290116413</v>
      </c>
      <c r="L18" s="1">
        <f>'L2'!B18*COS(ATAN2($C$3,$B$3))-'L2'!C18*SIN(ATAN2($C$3,$B$3))</f>
        <v>-5.98704062148238</v>
      </c>
      <c r="M18" s="1">
        <f>('L2'!B18*SIN(ATAN2($C$3,$B$3))+'L2'!C18*COS(ATAN2($C$3,$B$3)))*COS(ATAN2(SQRT($B$3^2+$C$3^2),-$D$3))-'L2'!D18*SIN(ATAN2(SQRT($B$3^2+$C$3^2),-$D$3))</f>
        <v>29.3903860480841</v>
      </c>
      <c r="O18" s="1">
        <f>'L2'!B18*COS(ATAN2($C$4,$B$4))-'L2'!C18*SIN(ATAN2($C$4,$B$4))</f>
        <v>-5.71422980183706</v>
      </c>
      <c r="P18" s="1">
        <f>('L2'!B18*SIN(ATAN2($C$4,$B$4))+'L2'!C18*COS(ATAN2($C$4,$B$4)))*COS(ATAN2(SQRT($B$4^2+$C$4^2),-$D$4))-'L2'!D18*SIN(ATAN2(SQRT($B$4^2+$C$4^2),-$D$4))</f>
        <v>29.3333864221325</v>
      </c>
    </row>
    <row r="19" spans="2:16">
      <c r="G19" s="1">
        <v>365</v>
      </c>
      <c r="H19" s="1">
        <f>'L2'!H19*COS(ATAN2($C$2,$B$2))-'L2'!I19*SIN(ATAN2($C$2,$B$2))</f>
        <v>8.65348751549973</v>
      </c>
      <c r="I19" s="1">
        <f>('L2'!H19*SIN(ATAN2($C$2,$B$2))+'L2'!I19*COS(ATAN2($C$2,$B$2)))*COS(ATAN2(SQRT($B$2^2+$C$2^2),-$D$2))-'L2'!J19*SIN(ATAN2(SQRT($B$2^2+$C$2^2),-$D$2))</f>
        <v>26.8888301505863</v>
      </c>
      <c r="J19" s="1">
        <f>('L2'!H19*SIN(ATAN2($C$2,$B$2))+'L2'!I19*COS(ATAN2($C$2,$B$2)))*SIN(ATAN2(SQRT($B$2^2+$C$2^2),-$D$2))+'L2'!J19*COS(ATAN2(SQRT($B$2^2+$C$2^2),-$D$2))</f>
        <v>-38.1137975928929</v>
      </c>
      <c r="L19" s="1">
        <f>'L2'!B19*COS(ATAN2($C$3,$B$3))-'L2'!C19*SIN(ATAN2($C$3,$B$3))</f>
        <v>-9.48084901326322</v>
      </c>
      <c r="M19" s="1">
        <f>('L2'!B19*SIN(ATAN2($C$3,$B$3))+'L2'!C19*COS(ATAN2($C$3,$B$3)))*COS(ATAN2(SQRT($B$3^2+$C$3^2),-$D$3))-'L2'!D19*SIN(ATAN2(SQRT($B$3^2+$C$3^2),-$D$3))</f>
        <v>29.0913317657002</v>
      </c>
      <c r="O19" s="1">
        <f>'L2'!B19*COS(ATAN2($C$4,$B$4))-'L2'!C19*SIN(ATAN2($C$4,$B$4))</f>
        <v>-9.21156851493772</v>
      </c>
      <c r="P19" s="1">
        <f>('L2'!B19*SIN(ATAN2($C$4,$B$4))+'L2'!C19*COS(ATAN2($C$4,$B$4)))*COS(ATAN2(SQRT($B$4^2+$C$4^2),-$D$4))-'L2'!D19*SIN(ATAN2(SQRT($B$4^2+$C$4^2),-$D$4))</f>
        <v>29.0388261600757</v>
      </c>
    </row>
    <row r="20" spans="2:16">
      <c r="G20" s="1">
        <v>385</v>
      </c>
    </row>
    <row r="21" spans="2:16">
      <c r="G21" s="2" t="s">
        <v>22</v>
      </c>
    </row>
    <row r="22" spans="2:16">
      <c r="B22" s="2"/>
      <c r="C22" s="2"/>
      <c r="D22" s="2"/>
      <c r="E22" s="2"/>
      <c r="F22" s="2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L0</vt:lpstr>
      <vt:lpstr>L1</vt:lpstr>
      <vt:lpstr>L2</vt:lpstr>
      <vt:lpstr>圆</vt:lpstr>
      <vt:lpstr>L3</vt:lpstr>
      <vt:lpstr>L4</vt:lpstr>
      <vt:lpstr>Sheet2</vt:lpstr>
      <vt:lpstr>球心降噪</vt:lpstr>
      <vt:lpstr>旋转轴与投影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ZHAOHAIWU</dc:creator>
  <cp:lastModifiedBy>清晨的朝阳</cp:lastModifiedBy>
  <dcterms:created xsi:type="dcterms:W3CDTF">2023-05-12T11:15:00Z</dcterms:created>
  <dcterms:modified xsi:type="dcterms:W3CDTF">2026-10-06T03:30:02Z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A701B127A57749C28F425682396653EC_12</vt:lpwstr>
  </property>
  <property fmtid="{D5CDD505-2E9C-101B-9397-08002B2CF9AE}" pid="4" name="CalculationRule">
    <vt:i4>0</vt:i4>
  </property>
</Properties>
</file>