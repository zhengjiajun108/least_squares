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Task\least_squares\"/>
    </mc:Choice>
  </mc:AlternateContent>
  <bookViews>
    <workbookView windowWidth="22188" windowHeight="9060" activeTab="1"/>
  </bookViews>
  <sheets>
    <sheet name="L0" sheetId="1" r:id="rId1"/>
    <sheet name="L1" sheetId="2" r:id="rId2"/>
    <sheet name="L2" sheetId="3" r:id="rId3"/>
    <sheet name="L3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ZHAOHAIWU</author>
  </authors>
  <commentList>
    <comment ref="H1" authorId="0">
      <text>
        <r>
          <rPr>
            <sz val="10"/>
            <rFont val="宋体"/>
            <charset val="134"/>
          </rPr>
          <t>ZHAOHAIWU:
加负号是为了显示。方向同时变成了左手定则</t>
        </r>
      </text>
    </comment>
  </commentList>
</comments>
</file>

<file path=xl/sharedStrings.xml><?xml version="1.0" encoding="utf-8"?>
<sst xmlns="http://schemas.openxmlformats.org/spreadsheetml/2006/main" count="43" uniqueCount="35">
  <si>
    <t>序号</t>
  </si>
  <si>
    <t>X1</t>
  </si>
  <si>
    <t>Y1</t>
  </si>
  <si>
    <t>X2</t>
  </si>
  <si>
    <t>Y2</t>
  </si>
  <si>
    <t>X3</t>
  </si>
  <si>
    <t>Y3</t>
  </si>
  <si>
    <t>X4</t>
  </si>
  <si>
    <t>Y4</t>
  </si>
  <si>
    <t>X0</t>
  </si>
  <si>
    <t>Y0</t>
  </si>
  <si>
    <t>R</t>
  </si>
  <si>
    <t>X5</t>
  </si>
  <si>
    <t>Y5</t>
  </si>
  <si>
    <t>a0-a2</t>
  </si>
  <si>
    <t>Y0(二次项)</t>
  </si>
  <si>
    <t>Y0(五次项)</t>
  </si>
  <si>
    <t>X0(对照1)</t>
  </si>
  <si>
    <t>Y0(对照1)</t>
  </si>
  <si>
    <t>(对照1二次项)</t>
  </si>
  <si>
    <t>(对照1五次项)</t>
  </si>
  <si>
    <t>a0-a5</t>
  </si>
  <si>
    <t>X6</t>
  </si>
  <si>
    <t>Y6</t>
  </si>
  <si>
    <t>Z6</t>
  </si>
  <si>
    <t>X9</t>
  </si>
  <si>
    <t>Y9</t>
  </si>
  <si>
    <t>R=47.44</t>
  </si>
  <si>
    <t>X7</t>
  </si>
  <si>
    <t>Y7</t>
  </si>
  <si>
    <t>Z7</t>
  </si>
  <si>
    <t>|S|</t>
  </si>
  <si>
    <t>X8</t>
  </si>
  <si>
    <t>Y8</t>
  </si>
  <si>
    <t>Z8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</si>
</sst>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球心坐标多项式拟合</a:t>
            </a:r>
            <a:endParaRPr lang="en-US" alt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770308924485126"/>
          <c:y val="0.115214180206795"/>
          <c:w val="0.875200228832952"/>
          <c:h val="0.75834564254062"/>
        </c:manualLayout>
      </c:layout>
      <c:scatterChart>
        <c:scatterStyle val="smooth"/>
        <c:varyColors val="0"/>
        <c:ser>
          <c:idx val="3"/>
          <c:order val="3"/>
          <c:tx>
            <c:strRef>
              <c:f>"对照1二次项"</c:f>
              <c:strCache>
                <c:ptCount val="1"/>
                <c:pt idx="0">
                  <c:v>对照1二次项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ysDash"/>
              <a:round/>
            </a:ln>
            <a:sp3d contourW="28575"/>
          </c:spPr>
          <c:marker>
            <c:symbol val="none"/>
          </c:marker>
          <c:dLbls>
            <c:delete val="1"/>
          </c:dLbls>
          <c:xVal>
            <c:numRef>
              <c:f>'L1'!$M$2:$M$112</c:f>
              <c:numCache>
                <c:formatCode>General</c:formatCode>
                <c:ptCount val="111"/>
                <c:pt idx="0">
                  <c:v>946</c:v>
                </c:pt>
                <c:pt idx="1">
                  <c:v>944</c:v>
                </c:pt>
                <c:pt idx="2">
                  <c:v>941</c:v>
                </c:pt>
                <c:pt idx="3">
                  <c:v>936</c:v>
                </c:pt>
                <c:pt idx="4">
                  <c:v>931</c:v>
                </c:pt>
                <c:pt idx="5">
                  <c:v>927</c:v>
                </c:pt>
                <c:pt idx="6">
                  <c:v>922</c:v>
                </c:pt>
                <c:pt idx="7">
                  <c:v>918</c:v>
                </c:pt>
                <c:pt idx="8">
                  <c:v>914</c:v>
                </c:pt>
                <c:pt idx="9">
                  <c:v>910</c:v>
                </c:pt>
                <c:pt idx="10">
                  <c:v>906</c:v>
                </c:pt>
                <c:pt idx="11">
                  <c:v>902</c:v>
                </c:pt>
                <c:pt idx="12">
                  <c:v>898</c:v>
                </c:pt>
                <c:pt idx="13">
                  <c:v>895</c:v>
                </c:pt>
                <c:pt idx="14">
                  <c:v>891</c:v>
                </c:pt>
                <c:pt idx="15">
                  <c:v>887</c:v>
                </c:pt>
                <c:pt idx="16">
                  <c:v>883</c:v>
                </c:pt>
                <c:pt idx="17">
                  <c:v>879</c:v>
                </c:pt>
                <c:pt idx="18">
                  <c:v>875</c:v>
                </c:pt>
                <c:pt idx="19">
                  <c:v>871</c:v>
                </c:pt>
                <c:pt idx="20">
                  <c:v>867</c:v>
                </c:pt>
                <c:pt idx="21">
                  <c:v>863</c:v>
                </c:pt>
                <c:pt idx="22">
                  <c:v>860</c:v>
                </c:pt>
                <c:pt idx="23">
                  <c:v>855</c:v>
                </c:pt>
                <c:pt idx="24">
                  <c:v>851</c:v>
                </c:pt>
                <c:pt idx="25">
                  <c:v>847</c:v>
                </c:pt>
                <c:pt idx="26">
                  <c:v>843</c:v>
                </c:pt>
                <c:pt idx="27">
                  <c:v>838</c:v>
                </c:pt>
                <c:pt idx="28">
                  <c:v>833</c:v>
                </c:pt>
                <c:pt idx="29">
                  <c:v>828</c:v>
                </c:pt>
                <c:pt idx="30">
                  <c:v>825</c:v>
                </c:pt>
                <c:pt idx="31">
                  <c:v>821</c:v>
                </c:pt>
                <c:pt idx="32">
                  <c:v>817</c:v>
                </c:pt>
                <c:pt idx="33">
                  <c:v>813</c:v>
                </c:pt>
                <c:pt idx="34">
                  <c:v>810</c:v>
                </c:pt>
                <c:pt idx="35">
                  <c:v>806</c:v>
                </c:pt>
                <c:pt idx="36">
                  <c:v>803</c:v>
                </c:pt>
                <c:pt idx="37">
                  <c:v>800</c:v>
                </c:pt>
                <c:pt idx="38">
                  <c:v>796</c:v>
                </c:pt>
                <c:pt idx="39">
                  <c:v>792</c:v>
                </c:pt>
                <c:pt idx="40">
                  <c:v>789</c:v>
                </c:pt>
                <c:pt idx="41">
                  <c:v>786</c:v>
                </c:pt>
                <c:pt idx="42">
                  <c:v>783</c:v>
                </c:pt>
                <c:pt idx="43">
                  <c:v>782</c:v>
                </c:pt>
                <c:pt idx="44">
                  <c:v>779</c:v>
                </c:pt>
                <c:pt idx="45">
                  <c:v>776</c:v>
                </c:pt>
                <c:pt idx="46">
                  <c:v>773</c:v>
                </c:pt>
                <c:pt idx="47">
                  <c:v>768</c:v>
                </c:pt>
                <c:pt idx="48">
                  <c:v>764</c:v>
                </c:pt>
                <c:pt idx="49">
                  <c:v>761</c:v>
                </c:pt>
                <c:pt idx="50">
                  <c:v>757</c:v>
                </c:pt>
                <c:pt idx="51">
                  <c:v>754</c:v>
                </c:pt>
                <c:pt idx="52">
                  <c:v>752</c:v>
                </c:pt>
                <c:pt idx="53">
                  <c:v>748</c:v>
                </c:pt>
                <c:pt idx="54">
                  <c:v>744</c:v>
                </c:pt>
                <c:pt idx="55">
                  <c:v>741</c:v>
                </c:pt>
                <c:pt idx="56">
                  <c:v>736</c:v>
                </c:pt>
                <c:pt idx="57">
                  <c:v>734</c:v>
                </c:pt>
                <c:pt idx="58">
                  <c:v>735</c:v>
                </c:pt>
                <c:pt idx="59">
                  <c:v>726</c:v>
                </c:pt>
                <c:pt idx="60">
                  <c:v>730</c:v>
                </c:pt>
                <c:pt idx="61">
                  <c:v>728</c:v>
                </c:pt>
                <c:pt idx="62">
                  <c:v>724</c:v>
                </c:pt>
                <c:pt idx="63">
                  <c:v>721</c:v>
                </c:pt>
                <c:pt idx="64">
                  <c:v>718</c:v>
                </c:pt>
                <c:pt idx="65">
                  <c:v>714</c:v>
                </c:pt>
                <c:pt idx="66">
                  <c:v>710</c:v>
                </c:pt>
                <c:pt idx="67">
                  <c:v>706</c:v>
                </c:pt>
                <c:pt idx="68">
                  <c:v>702</c:v>
                </c:pt>
                <c:pt idx="69">
                  <c:v>697</c:v>
                </c:pt>
                <c:pt idx="70">
                  <c:v>692</c:v>
                </c:pt>
                <c:pt idx="71">
                  <c:v>686</c:v>
                </c:pt>
                <c:pt idx="72">
                  <c:v>681</c:v>
                </c:pt>
                <c:pt idx="73">
                  <c:v>675</c:v>
                </c:pt>
                <c:pt idx="74">
                  <c:v>671</c:v>
                </c:pt>
                <c:pt idx="75">
                  <c:v>667</c:v>
                </c:pt>
                <c:pt idx="76">
                  <c:v>663</c:v>
                </c:pt>
                <c:pt idx="77">
                  <c:v>660</c:v>
                </c:pt>
                <c:pt idx="78">
                  <c:v>657</c:v>
                </c:pt>
                <c:pt idx="79">
                  <c:v>654</c:v>
                </c:pt>
                <c:pt idx="80">
                  <c:v>651</c:v>
                </c:pt>
                <c:pt idx="81">
                  <c:v>648</c:v>
                </c:pt>
                <c:pt idx="82">
                  <c:v>645</c:v>
                </c:pt>
                <c:pt idx="83">
                  <c:v>642</c:v>
                </c:pt>
                <c:pt idx="84">
                  <c:v>639</c:v>
                </c:pt>
                <c:pt idx="85">
                  <c:v>635</c:v>
                </c:pt>
                <c:pt idx="86">
                  <c:v>632</c:v>
                </c:pt>
                <c:pt idx="87">
                  <c:v>628</c:v>
                </c:pt>
                <c:pt idx="88">
                  <c:v>625</c:v>
                </c:pt>
                <c:pt idx="89">
                  <c:v>621</c:v>
                </c:pt>
                <c:pt idx="90">
                  <c:v>616</c:v>
                </c:pt>
                <c:pt idx="91">
                  <c:v>612</c:v>
                </c:pt>
                <c:pt idx="92">
                  <c:v>607</c:v>
                </c:pt>
                <c:pt idx="93">
                  <c:v>602</c:v>
                </c:pt>
                <c:pt idx="94">
                  <c:v>598</c:v>
                </c:pt>
                <c:pt idx="95">
                  <c:v>594</c:v>
                </c:pt>
                <c:pt idx="96">
                  <c:v>589</c:v>
                </c:pt>
                <c:pt idx="97">
                  <c:v>586</c:v>
                </c:pt>
                <c:pt idx="98">
                  <c:v>582</c:v>
                </c:pt>
                <c:pt idx="99">
                  <c:v>577</c:v>
                </c:pt>
                <c:pt idx="100">
                  <c:v>573</c:v>
                </c:pt>
                <c:pt idx="101">
                  <c:v>569</c:v>
                </c:pt>
                <c:pt idx="102">
                  <c:v>566</c:v>
                </c:pt>
                <c:pt idx="103">
                  <c:v>562</c:v>
                </c:pt>
                <c:pt idx="104">
                  <c:v>558</c:v>
                </c:pt>
                <c:pt idx="105">
                  <c:v>555</c:v>
                </c:pt>
                <c:pt idx="106">
                  <c:v>551</c:v>
                </c:pt>
                <c:pt idx="107">
                  <c:v>554</c:v>
                </c:pt>
                <c:pt idx="108">
                  <c:v>552</c:v>
                </c:pt>
                <c:pt idx="109">
                  <c:v>548</c:v>
                </c:pt>
                <c:pt idx="110">
                  <c:v>544</c:v>
                </c:pt>
              </c:numCache>
            </c:numRef>
          </c:xVal>
          <c:yVal>
            <c:numRef>
              <c:f>'L1'!$O$2:$O$112</c:f>
              <c:numCache>
                <c:formatCode>General</c:formatCode>
                <c:ptCount val="111"/>
                <c:pt idx="0">
                  <c:v>462.826733004</c:v>
                </c:pt>
                <c:pt idx="1">
                  <c:v>463.901133184</c:v>
                </c:pt>
                <c:pt idx="2">
                  <c:v>465.524742739</c:v>
                </c:pt>
                <c:pt idx="3">
                  <c:v>468.262783424</c:v>
                </c:pt>
                <c:pt idx="4">
                  <c:v>471.040855059</c:v>
                </c:pt>
                <c:pt idx="5">
                  <c:v>473.292134651</c:v>
                </c:pt>
                <c:pt idx="6">
                  <c:v>476.142261996</c:v>
                </c:pt>
                <c:pt idx="7">
                  <c:v>478.451186156</c:v>
                </c:pt>
                <c:pt idx="8">
                  <c:v>480.785730124</c:v>
                </c:pt>
                <c:pt idx="9">
                  <c:v>483.1458939</c:v>
                </c:pt>
                <c:pt idx="10">
                  <c:v>485.531677484</c:v>
                </c:pt>
                <c:pt idx="11">
                  <c:v>487.943080876</c:v>
                </c:pt>
                <c:pt idx="12">
                  <c:v>490.380104076</c:v>
                </c:pt>
                <c:pt idx="13">
                  <c:v>492.224684475</c:v>
                </c:pt>
                <c:pt idx="14">
                  <c:v>494.706542339</c:v>
                </c:pt>
                <c:pt idx="15">
                  <c:v>497.214020011</c:v>
                </c:pt>
                <c:pt idx="16">
                  <c:v>499.747117491</c:v>
                </c:pt>
                <c:pt idx="17">
                  <c:v>502.305834779</c:v>
                </c:pt>
                <c:pt idx="18">
                  <c:v>504.890171875</c:v>
                </c:pt>
                <c:pt idx="19">
                  <c:v>507.500128779</c:v>
                </c:pt>
                <c:pt idx="20">
                  <c:v>510.135705491</c:v>
                </c:pt>
                <c:pt idx="21">
                  <c:v>512.796902011</c:v>
                </c:pt>
                <c:pt idx="22">
                  <c:v>514.8096124</c:v>
                </c:pt>
                <c:pt idx="23">
                  <c:v>518.196154475</c:v>
                </c:pt>
                <c:pt idx="24">
                  <c:v>520.934210419</c:v>
                </c:pt>
                <c:pt idx="25">
                  <c:v>523.697886171</c:v>
                </c:pt>
                <c:pt idx="26">
                  <c:v>526.487181731</c:v>
                </c:pt>
                <c:pt idx="27">
                  <c:v>530.009829036</c:v>
                </c:pt>
                <c:pt idx="28">
                  <c:v>533.572507291</c:v>
                </c:pt>
                <c:pt idx="29">
                  <c:v>537.175216496</c:v>
                </c:pt>
                <c:pt idx="30">
                  <c:v>539.356056875</c:v>
                </c:pt>
                <c:pt idx="31">
                  <c:v>542.286261379</c:v>
                </c:pt>
                <c:pt idx="32">
                  <c:v>545.242085691</c:v>
                </c:pt>
                <c:pt idx="33">
                  <c:v>548.223529811</c:v>
                </c:pt>
                <c:pt idx="34">
                  <c:v>550.4764259</c:v>
                </c:pt>
                <c:pt idx="35">
                  <c:v>553.502704684</c:v>
                </c:pt>
                <c:pt idx="36">
                  <c:v>555.789226771</c:v>
                </c:pt>
                <c:pt idx="37">
                  <c:v>558.09016</c:v>
                </c:pt>
                <c:pt idx="38">
                  <c:v>561.180488304</c:v>
                </c:pt>
                <c:pt idx="39">
                  <c:v>564.296436416</c:v>
                </c:pt>
                <c:pt idx="40">
                  <c:v>566.650210499</c:v>
                </c:pt>
                <c:pt idx="41">
                  <c:v>569.018395724</c:v>
                </c:pt>
                <c:pt idx="42">
                  <c:v>571.400992091</c:v>
                </c:pt>
                <c:pt idx="43">
                  <c:v>572.198393356</c:v>
                </c:pt>
                <c:pt idx="44">
                  <c:v>574.600204579</c:v>
                </c:pt>
                <c:pt idx="45">
                  <c:v>577.016426944</c:v>
                </c:pt>
                <c:pt idx="46">
                  <c:v>579.447060451</c:v>
                </c:pt>
                <c:pt idx="47">
                  <c:v>583.530141056</c:v>
                </c:pt>
                <c:pt idx="48">
                  <c:v>586.825427824</c:v>
                </c:pt>
                <c:pt idx="49">
                  <c:v>589.313705899</c:v>
                </c:pt>
                <c:pt idx="50">
                  <c:v>592.653827331</c:v>
                </c:pt>
                <c:pt idx="51">
                  <c:v>595.175731404</c:v>
                </c:pt>
                <c:pt idx="52">
                  <c:v>596.865006976</c:v>
                </c:pt>
                <c:pt idx="53">
                  <c:v>600.262772976</c:v>
                </c:pt>
                <c:pt idx="54">
                  <c:v>603.686158784</c:v>
                </c:pt>
                <c:pt idx="55">
                  <c:v>606.270511139</c:v>
                </c:pt>
                <c:pt idx="56">
                  <c:v>610.609789824</c:v>
                </c:pt>
                <c:pt idx="57">
                  <c:v>612.356709964</c:v>
                </c:pt>
                <c:pt idx="58">
                  <c:v>611.482449275</c:v>
                </c:pt>
                <c:pt idx="59">
                  <c:v>619.408440044</c:v>
                </c:pt>
                <c:pt idx="60">
                  <c:v>615.8697651</c:v>
                </c:pt>
                <c:pt idx="61">
                  <c:v>617.635900096</c:v>
                </c:pt>
                <c:pt idx="62">
                  <c:v>621.187384944</c:v>
                </c:pt>
                <c:pt idx="63">
                  <c:v>623.867811579</c:v>
                </c:pt>
                <c:pt idx="64">
                  <c:v>626.562649356</c:v>
                </c:pt>
                <c:pt idx="65">
                  <c:v>630.178183724</c:v>
                </c:pt>
                <c:pt idx="66">
                  <c:v>633.8193379</c:v>
                </c:pt>
                <c:pt idx="67">
                  <c:v>637.486111884</c:v>
                </c:pt>
                <c:pt idx="68">
                  <c:v>641.178505676</c:v>
                </c:pt>
                <c:pt idx="69">
                  <c:v>645.830025771</c:v>
                </c:pt>
                <c:pt idx="70">
                  <c:v>650.521576816</c:v>
                </c:pt>
                <c:pt idx="71">
                  <c:v>656.204278924</c:v>
                </c:pt>
                <c:pt idx="72">
                  <c:v>660.983898059</c:v>
                </c:pt>
                <c:pt idx="73">
                  <c:v>666.772281875</c:v>
                </c:pt>
                <c:pt idx="74">
                  <c:v>670.663229179</c:v>
                </c:pt>
                <c:pt idx="75">
                  <c:v>674.579796291</c:v>
                </c:pt>
                <c:pt idx="76">
                  <c:v>678.521983211</c:v>
                </c:pt>
                <c:pt idx="77">
                  <c:v>681.4954364</c:v>
                </c:pt>
                <c:pt idx="78">
                  <c:v>684.483300731</c:v>
                </c:pt>
                <c:pt idx="79">
                  <c:v>687.485576204</c:v>
                </c:pt>
                <c:pt idx="80">
                  <c:v>690.502262819</c:v>
                </c:pt>
                <c:pt idx="81">
                  <c:v>693.533360576</c:v>
                </c:pt>
                <c:pt idx="82">
                  <c:v>696.578869475</c:v>
                </c:pt>
                <c:pt idx="83">
                  <c:v>699.638789516</c:v>
                </c:pt>
                <c:pt idx="84">
                  <c:v>702.713120699</c:v>
                </c:pt>
                <c:pt idx="85">
                  <c:v>706.834646275</c:v>
                </c:pt>
                <c:pt idx="86">
                  <c:v>709.942603456</c:v>
                </c:pt>
                <c:pt idx="87">
                  <c:v>714.108963696</c:v>
                </c:pt>
                <c:pt idx="88">
                  <c:v>717.250546875</c:v>
                </c:pt>
                <c:pt idx="89">
                  <c:v>721.461741779</c:v>
                </c:pt>
                <c:pt idx="90">
                  <c:v>726.761763264</c:v>
                </c:pt>
                <c:pt idx="91">
                  <c:v>731.030602736</c:v>
                </c:pt>
                <c:pt idx="92">
                  <c:v>736.402679931</c:v>
                </c:pt>
                <c:pt idx="93">
                  <c:v>741.814788076</c:v>
                </c:pt>
                <c:pt idx="94">
                  <c:v>746.173296876</c:v>
                </c:pt>
                <c:pt idx="95">
                  <c:v>750.557425484</c:v>
                </c:pt>
                <c:pt idx="96">
                  <c:v>756.073614099</c:v>
                </c:pt>
                <c:pt idx="97">
                  <c:v>759.402542124</c:v>
                </c:pt>
                <c:pt idx="98">
                  <c:v>763.863530156</c:v>
                </c:pt>
                <c:pt idx="99">
                  <c:v>769.475793051</c:v>
                </c:pt>
                <c:pt idx="100">
                  <c:v>773.994425651</c:v>
                </c:pt>
                <c:pt idx="101">
                  <c:v>778.538678059</c:v>
                </c:pt>
                <c:pt idx="102">
                  <c:v>781.963680364</c:v>
                </c:pt>
                <c:pt idx="103">
                  <c:v>786.552767436</c:v>
                </c:pt>
                <c:pt idx="104">
                  <c:v>791.167474316</c:v>
                </c:pt>
                <c:pt idx="105">
                  <c:v>794.645317475</c:v>
                </c:pt>
                <c:pt idx="106">
                  <c:v>799.304859019</c:v>
                </c:pt>
                <c:pt idx="107">
                  <c:v>795.807801004</c:v>
                </c:pt>
                <c:pt idx="108">
                  <c:v>798.137571776</c:v>
                </c:pt>
                <c:pt idx="109">
                  <c:v>802.816328176</c:v>
                </c:pt>
                <c:pt idx="110">
                  <c:v>807.520704384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"对照1五次项"</c:f>
              <c:strCache>
                <c:ptCount val="1"/>
                <c:pt idx="0">
                  <c:v>对照1五次项</c:v>
                </c:pt>
              </c:strCache>
            </c:strRef>
          </c:tx>
          <c:spPr>
            <a:ln w="25400" cap="rnd" cmpd="sng" algn="ctr">
              <a:solidFill>
                <a:schemeClr val="accent5">
                  <a:alpha val="60000"/>
                </a:schemeClr>
              </a:solidFill>
              <a:prstDash val="solid"/>
              <a:round/>
            </a:ln>
            <a:sp3d contourW="25400"/>
          </c:spPr>
          <c:marker>
            <c:symbol val="none"/>
          </c:marker>
          <c:dLbls>
            <c:delete val="1"/>
          </c:dLbls>
          <c:xVal>
            <c:numRef>
              <c:f>'L1'!$M$2:$M$112</c:f>
              <c:numCache>
                <c:formatCode>General</c:formatCode>
                <c:ptCount val="111"/>
                <c:pt idx="0">
                  <c:v>946</c:v>
                </c:pt>
                <c:pt idx="1">
                  <c:v>944</c:v>
                </c:pt>
                <c:pt idx="2">
                  <c:v>941</c:v>
                </c:pt>
                <c:pt idx="3">
                  <c:v>936</c:v>
                </c:pt>
                <c:pt idx="4">
                  <c:v>931</c:v>
                </c:pt>
                <c:pt idx="5">
                  <c:v>927</c:v>
                </c:pt>
                <c:pt idx="6">
                  <c:v>922</c:v>
                </c:pt>
                <c:pt idx="7">
                  <c:v>918</c:v>
                </c:pt>
                <c:pt idx="8">
                  <c:v>914</c:v>
                </c:pt>
                <c:pt idx="9">
                  <c:v>910</c:v>
                </c:pt>
                <c:pt idx="10">
                  <c:v>906</c:v>
                </c:pt>
                <c:pt idx="11">
                  <c:v>902</c:v>
                </c:pt>
                <c:pt idx="12">
                  <c:v>898</c:v>
                </c:pt>
                <c:pt idx="13">
                  <c:v>895</c:v>
                </c:pt>
                <c:pt idx="14">
                  <c:v>891</c:v>
                </c:pt>
                <c:pt idx="15">
                  <c:v>887</c:v>
                </c:pt>
                <c:pt idx="16">
                  <c:v>883</c:v>
                </c:pt>
                <c:pt idx="17">
                  <c:v>879</c:v>
                </c:pt>
                <c:pt idx="18">
                  <c:v>875</c:v>
                </c:pt>
                <c:pt idx="19">
                  <c:v>871</c:v>
                </c:pt>
                <c:pt idx="20">
                  <c:v>867</c:v>
                </c:pt>
                <c:pt idx="21">
                  <c:v>863</c:v>
                </c:pt>
                <c:pt idx="22">
                  <c:v>860</c:v>
                </c:pt>
                <c:pt idx="23">
                  <c:v>855</c:v>
                </c:pt>
                <c:pt idx="24">
                  <c:v>851</c:v>
                </c:pt>
                <c:pt idx="25">
                  <c:v>847</c:v>
                </c:pt>
                <c:pt idx="26">
                  <c:v>843</c:v>
                </c:pt>
                <c:pt idx="27">
                  <c:v>838</c:v>
                </c:pt>
                <c:pt idx="28">
                  <c:v>833</c:v>
                </c:pt>
                <c:pt idx="29">
                  <c:v>828</c:v>
                </c:pt>
                <c:pt idx="30">
                  <c:v>825</c:v>
                </c:pt>
                <c:pt idx="31">
                  <c:v>821</c:v>
                </c:pt>
                <c:pt idx="32">
                  <c:v>817</c:v>
                </c:pt>
                <c:pt idx="33">
                  <c:v>813</c:v>
                </c:pt>
                <c:pt idx="34">
                  <c:v>810</c:v>
                </c:pt>
                <c:pt idx="35">
                  <c:v>806</c:v>
                </c:pt>
                <c:pt idx="36">
                  <c:v>803</c:v>
                </c:pt>
                <c:pt idx="37">
                  <c:v>800</c:v>
                </c:pt>
                <c:pt idx="38">
                  <c:v>796</c:v>
                </c:pt>
                <c:pt idx="39">
                  <c:v>792</c:v>
                </c:pt>
                <c:pt idx="40">
                  <c:v>789</c:v>
                </c:pt>
                <c:pt idx="41">
                  <c:v>786</c:v>
                </c:pt>
                <c:pt idx="42">
                  <c:v>783</c:v>
                </c:pt>
                <c:pt idx="43">
                  <c:v>782</c:v>
                </c:pt>
                <c:pt idx="44">
                  <c:v>779</c:v>
                </c:pt>
                <c:pt idx="45">
                  <c:v>776</c:v>
                </c:pt>
                <c:pt idx="46">
                  <c:v>773</c:v>
                </c:pt>
                <c:pt idx="47">
                  <c:v>768</c:v>
                </c:pt>
                <c:pt idx="48">
                  <c:v>764</c:v>
                </c:pt>
                <c:pt idx="49">
                  <c:v>761</c:v>
                </c:pt>
                <c:pt idx="50">
                  <c:v>757</c:v>
                </c:pt>
                <c:pt idx="51">
                  <c:v>754</c:v>
                </c:pt>
                <c:pt idx="52">
                  <c:v>752</c:v>
                </c:pt>
                <c:pt idx="53">
                  <c:v>748</c:v>
                </c:pt>
                <c:pt idx="54">
                  <c:v>744</c:v>
                </c:pt>
                <c:pt idx="55">
                  <c:v>741</c:v>
                </c:pt>
                <c:pt idx="56">
                  <c:v>736</c:v>
                </c:pt>
                <c:pt idx="57">
                  <c:v>734</c:v>
                </c:pt>
                <c:pt idx="58">
                  <c:v>735</c:v>
                </c:pt>
                <c:pt idx="59">
                  <c:v>726</c:v>
                </c:pt>
                <c:pt idx="60">
                  <c:v>730</c:v>
                </c:pt>
                <c:pt idx="61">
                  <c:v>728</c:v>
                </c:pt>
                <c:pt idx="62">
                  <c:v>724</c:v>
                </c:pt>
                <c:pt idx="63">
                  <c:v>721</c:v>
                </c:pt>
                <c:pt idx="64">
                  <c:v>718</c:v>
                </c:pt>
                <c:pt idx="65">
                  <c:v>714</c:v>
                </c:pt>
                <c:pt idx="66">
                  <c:v>710</c:v>
                </c:pt>
                <c:pt idx="67">
                  <c:v>706</c:v>
                </c:pt>
                <c:pt idx="68">
                  <c:v>702</c:v>
                </c:pt>
                <c:pt idx="69">
                  <c:v>697</c:v>
                </c:pt>
                <c:pt idx="70">
                  <c:v>692</c:v>
                </c:pt>
                <c:pt idx="71">
                  <c:v>686</c:v>
                </c:pt>
                <c:pt idx="72">
                  <c:v>681</c:v>
                </c:pt>
                <c:pt idx="73">
                  <c:v>675</c:v>
                </c:pt>
                <c:pt idx="74">
                  <c:v>671</c:v>
                </c:pt>
                <c:pt idx="75">
                  <c:v>667</c:v>
                </c:pt>
                <c:pt idx="76">
                  <c:v>663</c:v>
                </c:pt>
                <c:pt idx="77">
                  <c:v>660</c:v>
                </c:pt>
                <c:pt idx="78">
                  <c:v>657</c:v>
                </c:pt>
                <c:pt idx="79">
                  <c:v>654</c:v>
                </c:pt>
                <c:pt idx="80">
                  <c:v>651</c:v>
                </c:pt>
                <c:pt idx="81">
                  <c:v>648</c:v>
                </c:pt>
                <c:pt idx="82">
                  <c:v>645</c:v>
                </c:pt>
                <c:pt idx="83">
                  <c:v>642</c:v>
                </c:pt>
                <c:pt idx="84">
                  <c:v>639</c:v>
                </c:pt>
                <c:pt idx="85">
                  <c:v>635</c:v>
                </c:pt>
                <c:pt idx="86">
                  <c:v>632</c:v>
                </c:pt>
                <c:pt idx="87">
                  <c:v>628</c:v>
                </c:pt>
                <c:pt idx="88">
                  <c:v>625</c:v>
                </c:pt>
                <c:pt idx="89">
                  <c:v>621</c:v>
                </c:pt>
                <c:pt idx="90">
                  <c:v>616</c:v>
                </c:pt>
                <c:pt idx="91">
                  <c:v>612</c:v>
                </c:pt>
                <c:pt idx="92">
                  <c:v>607</c:v>
                </c:pt>
                <c:pt idx="93">
                  <c:v>602</c:v>
                </c:pt>
                <c:pt idx="94">
                  <c:v>598</c:v>
                </c:pt>
                <c:pt idx="95">
                  <c:v>594</c:v>
                </c:pt>
                <c:pt idx="96">
                  <c:v>589</c:v>
                </c:pt>
                <c:pt idx="97">
                  <c:v>586</c:v>
                </c:pt>
                <c:pt idx="98">
                  <c:v>582</c:v>
                </c:pt>
                <c:pt idx="99">
                  <c:v>577</c:v>
                </c:pt>
                <c:pt idx="100">
                  <c:v>573</c:v>
                </c:pt>
                <c:pt idx="101">
                  <c:v>569</c:v>
                </c:pt>
                <c:pt idx="102">
                  <c:v>566</c:v>
                </c:pt>
                <c:pt idx="103">
                  <c:v>562</c:v>
                </c:pt>
                <c:pt idx="104">
                  <c:v>558</c:v>
                </c:pt>
                <c:pt idx="105">
                  <c:v>555</c:v>
                </c:pt>
                <c:pt idx="106">
                  <c:v>551</c:v>
                </c:pt>
                <c:pt idx="107">
                  <c:v>554</c:v>
                </c:pt>
                <c:pt idx="108">
                  <c:v>552</c:v>
                </c:pt>
                <c:pt idx="109">
                  <c:v>548</c:v>
                </c:pt>
                <c:pt idx="110">
                  <c:v>544</c:v>
                </c:pt>
              </c:numCache>
            </c:numRef>
          </c:xVal>
          <c:yVal>
            <c:numRef>
              <c:f>'L1'!$P$2:$P$112</c:f>
              <c:numCache>
                <c:formatCode>General</c:formatCode>
                <c:ptCount val="111"/>
                <c:pt idx="0">
                  <c:v>467.973264910281</c:v>
                </c:pt>
                <c:pt idx="1">
                  <c:v>468.994811319761</c:v>
                </c:pt>
                <c:pt idx="2">
                  <c:v>470.49835893976</c:v>
                </c:pt>
                <c:pt idx="3">
                  <c:v>472.94021369722</c:v>
                </c:pt>
                <c:pt idx="4">
                  <c:v>475.321443675668</c:v>
                </c:pt>
                <c:pt idx="5">
                  <c:v>477.196880840507</c:v>
                </c:pt>
                <c:pt idx="6">
                  <c:v>479.520545093284</c:v>
                </c:pt>
                <c:pt idx="7">
                  <c:v>481.374173006712</c:v>
                </c:pt>
                <c:pt idx="8">
                  <c:v>483.232304248391</c:v>
                </c:pt>
                <c:pt idx="9">
                  <c:v>485.102783263632</c:v>
                </c:pt>
                <c:pt idx="10">
                  <c:v>486.992847442249</c:v>
                </c:pt>
                <c:pt idx="11">
                  <c:v>488.909144201665</c:v>
                </c:pt>
                <c:pt idx="12">
                  <c:v>490.857748068156</c:v>
                </c:pt>
                <c:pt idx="13">
                  <c:v>492.343742776109</c:v>
                </c:pt>
                <c:pt idx="14">
                  <c:v>494.361838774377</c:v>
                </c:pt>
                <c:pt idx="15">
                  <c:v>496.426132318826</c:v>
                </c:pt>
                <c:pt idx="16">
                  <c:v>498.540701733</c:v>
                </c:pt>
                <c:pt idx="17">
                  <c:v>500.70913359015</c:v>
                </c:pt>
                <c:pt idx="18">
                  <c:v>502.934539794922</c:v>
                </c:pt>
                <c:pt idx="19">
                  <c:v>505.219574666087</c:v>
                </c:pt>
                <c:pt idx="20">
                  <c:v>507.566452018218</c:v>
                </c:pt>
                <c:pt idx="21">
                  <c:v>509.976962243731</c:v>
                </c:pt>
                <c:pt idx="22">
                  <c:v>511.827451376077</c:v>
                </c:pt>
                <c:pt idx="23">
                  <c:v>514.994028268884</c:v>
                </c:pt>
                <c:pt idx="24">
                  <c:v>517.602201483845</c:v>
                </c:pt>
                <c:pt idx="25">
                  <c:v>520.277276566841</c:v>
                </c:pt>
                <c:pt idx="26">
                  <c:v>523.019183033575</c:v>
                </c:pt>
                <c:pt idx="27">
                  <c:v>526.539922281787</c:v>
                </c:pt>
                <c:pt idx="28">
                  <c:v>530.163024309695</c:v>
                </c:pt>
                <c:pt idx="29">
                  <c:v>533.886372015062</c:v>
                </c:pt>
                <c:pt idx="30">
                  <c:v>536.167377588004</c:v>
                </c:pt>
                <c:pt idx="31">
                  <c:v>539.262114023302</c:v>
                </c:pt>
                <c:pt idx="32">
                  <c:v>542.416164410104</c:v>
                </c:pt>
                <c:pt idx="33">
                  <c:v>545.627467674829</c:v>
                </c:pt>
                <c:pt idx="34">
                  <c:v>548.072168238519</c:v>
                </c:pt>
                <c:pt idx="35">
                  <c:v>551.378134270351</c:v>
                </c:pt>
                <c:pt idx="36">
                  <c:v>553.890987789993</c:v>
                </c:pt>
                <c:pt idx="37">
                  <c:v>556.431200000057</c:v>
                </c:pt>
                <c:pt idx="38">
                  <c:v>559.858675338292</c:v>
                </c:pt>
                <c:pt idx="39">
                  <c:v>563.329816611389</c:v>
                </c:pt>
                <c:pt idx="40">
                  <c:v>565.960035526921</c:v>
                </c:pt>
                <c:pt idx="41">
                  <c:v>568.611846499007</c:v>
                </c:pt>
                <c:pt idx="42">
                  <c:v>571.283934126186</c:v>
                </c:pt>
                <c:pt idx="43">
                  <c:v>572.178905740315</c:v>
                </c:pt>
                <c:pt idx="44">
                  <c:v>574.875950266309</c:v>
                </c:pt>
                <c:pt idx="45">
                  <c:v>577.590134831735</c:v>
                </c:pt>
                <c:pt idx="46">
                  <c:v>580.320096069343</c:v>
                </c:pt>
                <c:pt idx="47">
                  <c:v>584.901371708962</c:v>
                </c:pt>
                <c:pt idx="48">
                  <c:v>588.590946358076</c:v>
                </c:pt>
                <c:pt idx="49">
                  <c:v>591.370329276266</c:v>
                </c:pt>
                <c:pt idx="50">
                  <c:v>595.089874525802</c:v>
                </c:pt>
                <c:pt idx="51">
                  <c:v>597.888081234261</c:v>
                </c:pt>
                <c:pt idx="52">
                  <c:v>599.756892760553</c:v>
                </c:pt>
                <c:pt idx="53">
                  <c:v>603.500814850497</c:v>
                </c:pt>
                <c:pt idx="54">
                  <c:v>607.250650920349</c:v>
                </c:pt>
                <c:pt idx="55">
                  <c:v>610.065165553919</c:v>
                </c:pt>
                <c:pt idx="56">
                  <c:v>614.756619672266</c:v>
                </c:pt>
                <c:pt idx="57">
                  <c:v>616.63243903574</c:v>
                </c:pt>
                <c:pt idx="58">
                  <c:v>615.694624147538</c:v>
                </c:pt>
                <c:pt idx="59">
                  <c:v>624.123572776673</c:v>
                </c:pt>
                <c:pt idx="60">
                  <c:v>620.381029450542</c:v>
                </c:pt>
                <c:pt idx="61">
                  <c:v>622.253200221767</c:v>
                </c:pt>
                <c:pt idx="62">
                  <c:v>625.991875167725</c:v>
                </c:pt>
                <c:pt idx="63">
                  <c:v>628.789882560279</c:v>
                </c:pt>
                <c:pt idx="64">
                  <c:v>631.581828655049</c:v>
                </c:pt>
                <c:pt idx="65">
                  <c:v>635.293703051899</c:v>
                </c:pt>
                <c:pt idx="66">
                  <c:v>638.991888213499</c:v>
                </c:pt>
                <c:pt idx="67">
                  <c:v>642.675048530415</c:v>
                </c:pt>
                <c:pt idx="68">
                  <c:v>646.342112528248</c:v>
                </c:pt>
                <c:pt idx="69">
                  <c:v>650.902131328181</c:v>
                </c:pt>
                <c:pt idx="70">
                  <c:v>655.434903365251</c:v>
                </c:pt>
                <c:pt idx="71">
                  <c:v>660.838177173438</c:v>
                </c:pt>
                <c:pt idx="72">
                  <c:v>665.311819875864</c:v>
                </c:pt>
                <c:pt idx="73">
                  <c:v>670.647980029353</c:v>
                </c:pt>
                <c:pt idx="74">
                  <c:v>674.188133215128</c:v>
                </c:pt>
                <c:pt idx="75">
                  <c:v>677.716692732385</c:v>
                </c:pt>
                <c:pt idx="76">
                  <c:v>681.236057636706</c:v>
                </c:pt>
                <c:pt idx="77">
                  <c:v>683.871242576031</c:v>
                </c:pt>
                <c:pt idx="78">
                  <c:v>686.504219162005</c:v>
                </c:pt>
                <c:pt idx="79">
                  <c:v>689.136510340762</c:v>
                </c:pt>
                <c:pt idx="80">
                  <c:v>691.769794247597</c:v>
                </c:pt>
                <c:pt idx="81">
                  <c:v>694.405908260411</c:v>
                </c:pt>
                <c:pt idx="82">
                  <c:v>697.046853053356</c:v>
                </c:pt>
                <c:pt idx="83">
                  <c:v>699.69479665072</c:v>
                </c:pt>
                <c:pt idx="84">
                  <c:v>702.352078480419</c:v>
                </c:pt>
                <c:pt idx="85">
                  <c:v>705.91401955222</c:v>
                </c:pt>
                <c:pt idx="86">
                  <c:v>708.603181550085</c:v>
                </c:pt>
                <c:pt idx="87">
                  <c:v>712.217929292477</c:v>
                </c:pt>
                <c:pt idx="88">
                  <c:v>714.954986572264</c:v>
                </c:pt>
                <c:pt idx="89">
                  <c:v>718.64549869427</c:v>
                </c:pt>
                <c:pt idx="90">
                  <c:v>723.336873507493</c:v>
                </c:pt>
                <c:pt idx="91">
                  <c:v>727.163902923896</c:v>
                </c:pt>
                <c:pt idx="92">
                  <c:v>732.056596370465</c:v>
                </c:pt>
                <c:pt idx="93">
                  <c:v>737.090106135563</c:v>
                </c:pt>
                <c:pt idx="94">
                  <c:v>741.233603606854</c:v>
                </c:pt>
                <c:pt idx="95">
                  <c:v>745.494336269323</c:v>
                </c:pt>
                <c:pt idx="96">
                  <c:v>751.005386434726</c:v>
                </c:pt>
                <c:pt idx="97">
                  <c:v>754.421305359992</c:v>
                </c:pt>
                <c:pt idx="98">
                  <c:v>759.116356761335</c:v>
                </c:pt>
                <c:pt idx="99">
                  <c:v>765.233026999655</c:v>
                </c:pt>
                <c:pt idx="100">
                  <c:v>770.344761295541</c:v>
                </c:pt>
                <c:pt idx="101">
                  <c:v>775.669461578756</c:v>
                </c:pt>
                <c:pt idx="102">
                  <c:v>779.813714029957</c:v>
                </c:pt>
                <c:pt idx="103">
                  <c:v>785.555628147768</c:v>
                </c:pt>
                <c:pt idx="104">
                  <c:v>791.562892020333</c:v>
                </c:pt>
                <c:pt idx="105">
                  <c:v>796.254900057938</c:v>
                </c:pt>
                <c:pt idx="106">
                  <c:v>802.776908870005</c:v>
                </c:pt>
                <c:pt idx="107">
                  <c:v>797.856215935285</c:v>
                </c:pt>
                <c:pt idx="108">
                  <c:v>801.116871625224</c:v>
                </c:pt>
                <c:pt idx="109">
                  <c:v>807.880119814307</c:v>
                </c:pt>
                <c:pt idx="110">
                  <c:v>814.985236632982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"球心对照1"</c:f>
              <c:strCache>
                <c:ptCount val="1"/>
                <c:pt idx="0">
                  <c:v>球心对照1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</c:spPr>
          <c:marker>
            <c:spPr>
              <a:solidFill>
                <a:schemeClr val="accent1">
                  <a:alpha val="80000"/>
                </a:schemeClr>
              </a:solidFill>
              <a:ln w="12700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xVal>
            <c:numRef>
              <c:f>'L1'!$M$2:$M$112</c:f>
              <c:numCache>
                <c:formatCode>General</c:formatCode>
                <c:ptCount val="111"/>
                <c:pt idx="0">
                  <c:v>946</c:v>
                </c:pt>
                <c:pt idx="1">
                  <c:v>944</c:v>
                </c:pt>
                <c:pt idx="2">
                  <c:v>941</c:v>
                </c:pt>
                <c:pt idx="3">
                  <c:v>936</c:v>
                </c:pt>
                <c:pt idx="4">
                  <c:v>931</c:v>
                </c:pt>
                <c:pt idx="5">
                  <c:v>927</c:v>
                </c:pt>
                <c:pt idx="6">
                  <c:v>922</c:v>
                </c:pt>
                <c:pt idx="7">
                  <c:v>918</c:v>
                </c:pt>
                <c:pt idx="8">
                  <c:v>914</c:v>
                </c:pt>
                <c:pt idx="9">
                  <c:v>910</c:v>
                </c:pt>
                <c:pt idx="10">
                  <c:v>906</c:v>
                </c:pt>
                <c:pt idx="11">
                  <c:v>902</c:v>
                </c:pt>
                <c:pt idx="12">
                  <c:v>898</c:v>
                </c:pt>
                <c:pt idx="13">
                  <c:v>895</c:v>
                </c:pt>
                <c:pt idx="14">
                  <c:v>891</c:v>
                </c:pt>
                <c:pt idx="15">
                  <c:v>887</c:v>
                </c:pt>
                <c:pt idx="16">
                  <c:v>883</c:v>
                </c:pt>
                <c:pt idx="17">
                  <c:v>879</c:v>
                </c:pt>
                <c:pt idx="18">
                  <c:v>875</c:v>
                </c:pt>
                <c:pt idx="19">
                  <c:v>871</c:v>
                </c:pt>
                <c:pt idx="20">
                  <c:v>867</c:v>
                </c:pt>
                <c:pt idx="21">
                  <c:v>863</c:v>
                </c:pt>
                <c:pt idx="22">
                  <c:v>860</c:v>
                </c:pt>
                <c:pt idx="23">
                  <c:v>855</c:v>
                </c:pt>
                <c:pt idx="24">
                  <c:v>851</c:v>
                </c:pt>
                <c:pt idx="25">
                  <c:v>847</c:v>
                </c:pt>
                <c:pt idx="26">
                  <c:v>843</c:v>
                </c:pt>
                <c:pt idx="27">
                  <c:v>838</c:v>
                </c:pt>
                <c:pt idx="28">
                  <c:v>833</c:v>
                </c:pt>
                <c:pt idx="29">
                  <c:v>828</c:v>
                </c:pt>
                <c:pt idx="30">
                  <c:v>825</c:v>
                </c:pt>
                <c:pt idx="31">
                  <c:v>821</c:v>
                </c:pt>
                <c:pt idx="32">
                  <c:v>817</c:v>
                </c:pt>
                <c:pt idx="33">
                  <c:v>813</c:v>
                </c:pt>
                <c:pt idx="34">
                  <c:v>810</c:v>
                </c:pt>
                <c:pt idx="35">
                  <c:v>806</c:v>
                </c:pt>
                <c:pt idx="36">
                  <c:v>803</c:v>
                </c:pt>
                <c:pt idx="37">
                  <c:v>800</c:v>
                </c:pt>
                <c:pt idx="38">
                  <c:v>796</c:v>
                </c:pt>
                <c:pt idx="39">
                  <c:v>792</c:v>
                </c:pt>
                <c:pt idx="40">
                  <c:v>789</c:v>
                </c:pt>
                <c:pt idx="41">
                  <c:v>786</c:v>
                </c:pt>
                <c:pt idx="42">
                  <c:v>783</c:v>
                </c:pt>
                <c:pt idx="43">
                  <c:v>782</c:v>
                </c:pt>
                <c:pt idx="44">
                  <c:v>779</c:v>
                </c:pt>
                <c:pt idx="45">
                  <c:v>776</c:v>
                </c:pt>
                <c:pt idx="46">
                  <c:v>773</c:v>
                </c:pt>
                <c:pt idx="47">
                  <c:v>768</c:v>
                </c:pt>
                <c:pt idx="48">
                  <c:v>764</c:v>
                </c:pt>
                <c:pt idx="49">
                  <c:v>761</c:v>
                </c:pt>
                <c:pt idx="50">
                  <c:v>757</c:v>
                </c:pt>
                <c:pt idx="51">
                  <c:v>754</c:v>
                </c:pt>
                <c:pt idx="52">
                  <c:v>752</c:v>
                </c:pt>
                <c:pt idx="53">
                  <c:v>748</c:v>
                </c:pt>
                <c:pt idx="54">
                  <c:v>744</c:v>
                </c:pt>
                <c:pt idx="55">
                  <c:v>741</c:v>
                </c:pt>
                <c:pt idx="56">
                  <c:v>736</c:v>
                </c:pt>
                <c:pt idx="57">
                  <c:v>734</c:v>
                </c:pt>
                <c:pt idx="58">
                  <c:v>735</c:v>
                </c:pt>
                <c:pt idx="59">
                  <c:v>726</c:v>
                </c:pt>
                <c:pt idx="60">
                  <c:v>730</c:v>
                </c:pt>
                <c:pt idx="61">
                  <c:v>728</c:v>
                </c:pt>
                <c:pt idx="62">
                  <c:v>724</c:v>
                </c:pt>
                <c:pt idx="63">
                  <c:v>721</c:v>
                </c:pt>
                <c:pt idx="64">
                  <c:v>718</c:v>
                </c:pt>
                <c:pt idx="65">
                  <c:v>714</c:v>
                </c:pt>
                <c:pt idx="66">
                  <c:v>710</c:v>
                </c:pt>
                <c:pt idx="67">
                  <c:v>706</c:v>
                </c:pt>
                <c:pt idx="68">
                  <c:v>702</c:v>
                </c:pt>
                <c:pt idx="69">
                  <c:v>697</c:v>
                </c:pt>
                <c:pt idx="70">
                  <c:v>692</c:v>
                </c:pt>
                <c:pt idx="71">
                  <c:v>686</c:v>
                </c:pt>
                <c:pt idx="72">
                  <c:v>681</c:v>
                </c:pt>
                <c:pt idx="73">
                  <c:v>675</c:v>
                </c:pt>
                <c:pt idx="74">
                  <c:v>671</c:v>
                </c:pt>
                <c:pt idx="75">
                  <c:v>667</c:v>
                </c:pt>
                <c:pt idx="76">
                  <c:v>663</c:v>
                </c:pt>
                <c:pt idx="77">
                  <c:v>660</c:v>
                </c:pt>
                <c:pt idx="78">
                  <c:v>657</c:v>
                </c:pt>
                <c:pt idx="79">
                  <c:v>654</c:v>
                </c:pt>
                <c:pt idx="80">
                  <c:v>651</c:v>
                </c:pt>
                <c:pt idx="81">
                  <c:v>648</c:v>
                </c:pt>
                <c:pt idx="82">
                  <c:v>645</c:v>
                </c:pt>
                <c:pt idx="83">
                  <c:v>642</c:v>
                </c:pt>
                <c:pt idx="84">
                  <c:v>639</c:v>
                </c:pt>
                <c:pt idx="85">
                  <c:v>635</c:v>
                </c:pt>
                <c:pt idx="86">
                  <c:v>632</c:v>
                </c:pt>
                <c:pt idx="87">
                  <c:v>628</c:v>
                </c:pt>
                <c:pt idx="88">
                  <c:v>625</c:v>
                </c:pt>
                <c:pt idx="89">
                  <c:v>621</c:v>
                </c:pt>
                <c:pt idx="90">
                  <c:v>616</c:v>
                </c:pt>
                <c:pt idx="91">
                  <c:v>612</c:v>
                </c:pt>
                <c:pt idx="92">
                  <c:v>607</c:v>
                </c:pt>
                <c:pt idx="93">
                  <c:v>602</c:v>
                </c:pt>
                <c:pt idx="94">
                  <c:v>598</c:v>
                </c:pt>
                <c:pt idx="95">
                  <c:v>594</c:v>
                </c:pt>
                <c:pt idx="96">
                  <c:v>589</c:v>
                </c:pt>
                <c:pt idx="97">
                  <c:v>586</c:v>
                </c:pt>
                <c:pt idx="98">
                  <c:v>582</c:v>
                </c:pt>
                <c:pt idx="99">
                  <c:v>577</c:v>
                </c:pt>
                <c:pt idx="100">
                  <c:v>573</c:v>
                </c:pt>
                <c:pt idx="101">
                  <c:v>569</c:v>
                </c:pt>
                <c:pt idx="102">
                  <c:v>566</c:v>
                </c:pt>
                <c:pt idx="103">
                  <c:v>562</c:v>
                </c:pt>
                <c:pt idx="104">
                  <c:v>558</c:v>
                </c:pt>
                <c:pt idx="105">
                  <c:v>555</c:v>
                </c:pt>
                <c:pt idx="106">
                  <c:v>551</c:v>
                </c:pt>
                <c:pt idx="107">
                  <c:v>554</c:v>
                </c:pt>
                <c:pt idx="108">
                  <c:v>552</c:v>
                </c:pt>
                <c:pt idx="109">
                  <c:v>548</c:v>
                </c:pt>
                <c:pt idx="110">
                  <c:v>544</c:v>
                </c:pt>
              </c:numCache>
            </c:numRef>
          </c:xVal>
          <c:yVal>
            <c:numRef>
              <c:f>'L1'!$N$2:$N$112</c:f>
              <c:numCache>
                <c:formatCode>General</c:formatCode>
                <c:ptCount val="111"/>
                <c:pt idx="0">
                  <c:v>468</c:v>
                </c:pt>
                <c:pt idx="1">
                  <c:v>469</c:v>
                </c:pt>
                <c:pt idx="2">
                  <c:v>471</c:v>
                </c:pt>
                <c:pt idx="3">
                  <c:v>472</c:v>
                </c:pt>
                <c:pt idx="4">
                  <c:v>473</c:v>
                </c:pt>
                <c:pt idx="5">
                  <c:v>475</c:v>
                </c:pt>
                <c:pt idx="6">
                  <c:v>477</c:v>
                </c:pt>
                <c:pt idx="7">
                  <c:v>479</c:v>
                </c:pt>
                <c:pt idx="8">
                  <c:v>481</c:v>
                </c:pt>
                <c:pt idx="9">
                  <c:v>484</c:v>
                </c:pt>
                <c:pt idx="10">
                  <c:v>486</c:v>
                </c:pt>
                <c:pt idx="11">
                  <c:v>488</c:v>
                </c:pt>
                <c:pt idx="12">
                  <c:v>490</c:v>
                </c:pt>
                <c:pt idx="13">
                  <c:v>492</c:v>
                </c:pt>
                <c:pt idx="14">
                  <c:v>495</c:v>
                </c:pt>
                <c:pt idx="15">
                  <c:v>497</c:v>
                </c:pt>
                <c:pt idx="16">
                  <c:v>499</c:v>
                </c:pt>
                <c:pt idx="17">
                  <c:v>501</c:v>
                </c:pt>
                <c:pt idx="18">
                  <c:v>503</c:v>
                </c:pt>
                <c:pt idx="19">
                  <c:v>506</c:v>
                </c:pt>
                <c:pt idx="20">
                  <c:v>508</c:v>
                </c:pt>
                <c:pt idx="21">
                  <c:v>510</c:v>
                </c:pt>
                <c:pt idx="22">
                  <c:v>512</c:v>
                </c:pt>
                <c:pt idx="23">
                  <c:v>515</c:v>
                </c:pt>
                <c:pt idx="24">
                  <c:v>517</c:v>
                </c:pt>
                <c:pt idx="25">
                  <c:v>519</c:v>
                </c:pt>
                <c:pt idx="26">
                  <c:v>522</c:v>
                </c:pt>
                <c:pt idx="27">
                  <c:v>525</c:v>
                </c:pt>
                <c:pt idx="28">
                  <c:v>528</c:v>
                </c:pt>
                <c:pt idx="29">
                  <c:v>532</c:v>
                </c:pt>
                <c:pt idx="30">
                  <c:v>535</c:v>
                </c:pt>
                <c:pt idx="31">
                  <c:v>538</c:v>
                </c:pt>
                <c:pt idx="32">
                  <c:v>541</c:v>
                </c:pt>
                <c:pt idx="33">
                  <c:v>544</c:v>
                </c:pt>
                <c:pt idx="34">
                  <c:v>546</c:v>
                </c:pt>
                <c:pt idx="35">
                  <c:v>549</c:v>
                </c:pt>
                <c:pt idx="36">
                  <c:v>552</c:v>
                </c:pt>
                <c:pt idx="37">
                  <c:v>555</c:v>
                </c:pt>
                <c:pt idx="38">
                  <c:v>558</c:v>
                </c:pt>
                <c:pt idx="39">
                  <c:v>561</c:v>
                </c:pt>
                <c:pt idx="40">
                  <c:v>563</c:v>
                </c:pt>
                <c:pt idx="41">
                  <c:v>566</c:v>
                </c:pt>
                <c:pt idx="42">
                  <c:v>569</c:v>
                </c:pt>
                <c:pt idx="43">
                  <c:v>572</c:v>
                </c:pt>
                <c:pt idx="44">
                  <c:v>575</c:v>
                </c:pt>
                <c:pt idx="45">
                  <c:v>578</c:v>
                </c:pt>
                <c:pt idx="46">
                  <c:v>581</c:v>
                </c:pt>
                <c:pt idx="47">
                  <c:v>584</c:v>
                </c:pt>
                <c:pt idx="48">
                  <c:v>587</c:v>
                </c:pt>
                <c:pt idx="49">
                  <c:v>590</c:v>
                </c:pt>
                <c:pt idx="50">
                  <c:v>592</c:v>
                </c:pt>
                <c:pt idx="51">
                  <c:v>601</c:v>
                </c:pt>
                <c:pt idx="52">
                  <c:v>605</c:v>
                </c:pt>
                <c:pt idx="53">
                  <c:v>607</c:v>
                </c:pt>
                <c:pt idx="54">
                  <c:v>604</c:v>
                </c:pt>
                <c:pt idx="55">
                  <c:v>607</c:v>
                </c:pt>
                <c:pt idx="56">
                  <c:v>616</c:v>
                </c:pt>
                <c:pt idx="57">
                  <c:v>620</c:v>
                </c:pt>
                <c:pt idx="58">
                  <c:v>616</c:v>
                </c:pt>
                <c:pt idx="59">
                  <c:v>625</c:v>
                </c:pt>
                <c:pt idx="60">
                  <c:v>623</c:v>
                </c:pt>
                <c:pt idx="61">
                  <c:v>626</c:v>
                </c:pt>
                <c:pt idx="62">
                  <c:v>629</c:v>
                </c:pt>
                <c:pt idx="63">
                  <c:v>632</c:v>
                </c:pt>
                <c:pt idx="64">
                  <c:v>635</c:v>
                </c:pt>
                <c:pt idx="65">
                  <c:v>638</c:v>
                </c:pt>
                <c:pt idx="66">
                  <c:v>641</c:v>
                </c:pt>
                <c:pt idx="67">
                  <c:v>644</c:v>
                </c:pt>
                <c:pt idx="68">
                  <c:v>647</c:v>
                </c:pt>
                <c:pt idx="69">
                  <c:v>649</c:v>
                </c:pt>
                <c:pt idx="70">
                  <c:v>652</c:v>
                </c:pt>
                <c:pt idx="71">
                  <c:v>656</c:v>
                </c:pt>
                <c:pt idx="72">
                  <c:v>659</c:v>
                </c:pt>
                <c:pt idx="73">
                  <c:v>662</c:v>
                </c:pt>
                <c:pt idx="74">
                  <c:v>666</c:v>
                </c:pt>
                <c:pt idx="75">
                  <c:v>670</c:v>
                </c:pt>
                <c:pt idx="76">
                  <c:v>674</c:v>
                </c:pt>
                <c:pt idx="77">
                  <c:v>678</c:v>
                </c:pt>
                <c:pt idx="78">
                  <c:v>682</c:v>
                </c:pt>
                <c:pt idx="79">
                  <c:v>686</c:v>
                </c:pt>
                <c:pt idx="80">
                  <c:v>690</c:v>
                </c:pt>
                <c:pt idx="81">
                  <c:v>694</c:v>
                </c:pt>
                <c:pt idx="82">
                  <c:v>698</c:v>
                </c:pt>
                <c:pt idx="83">
                  <c:v>702</c:v>
                </c:pt>
                <c:pt idx="84">
                  <c:v>706</c:v>
                </c:pt>
                <c:pt idx="85">
                  <c:v>710</c:v>
                </c:pt>
                <c:pt idx="86">
                  <c:v>714</c:v>
                </c:pt>
                <c:pt idx="87">
                  <c:v>717</c:v>
                </c:pt>
                <c:pt idx="88">
                  <c:v>721</c:v>
                </c:pt>
                <c:pt idx="89">
                  <c:v>724</c:v>
                </c:pt>
                <c:pt idx="90">
                  <c:v>728</c:v>
                </c:pt>
                <c:pt idx="91">
                  <c:v>731</c:v>
                </c:pt>
                <c:pt idx="92">
                  <c:v>734</c:v>
                </c:pt>
                <c:pt idx="93">
                  <c:v>738</c:v>
                </c:pt>
                <c:pt idx="94">
                  <c:v>741</c:v>
                </c:pt>
                <c:pt idx="95">
                  <c:v>744</c:v>
                </c:pt>
                <c:pt idx="96">
                  <c:v>747</c:v>
                </c:pt>
                <c:pt idx="97">
                  <c:v>750</c:v>
                </c:pt>
                <c:pt idx="98">
                  <c:v>754</c:v>
                </c:pt>
                <c:pt idx="99">
                  <c:v>760</c:v>
                </c:pt>
                <c:pt idx="100">
                  <c:v>765</c:v>
                </c:pt>
                <c:pt idx="101">
                  <c:v>772</c:v>
                </c:pt>
                <c:pt idx="102">
                  <c:v>777</c:v>
                </c:pt>
                <c:pt idx="103">
                  <c:v>783</c:v>
                </c:pt>
                <c:pt idx="104">
                  <c:v>788</c:v>
                </c:pt>
                <c:pt idx="105">
                  <c:v>792</c:v>
                </c:pt>
                <c:pt idx="106">
                  <c:v>797</c:v>
                </c:pt>
                <c:pt idx="107">
                  <c:v>803</c:v>
                </c:pt>
                <c:pt idx="108">
                  <c:v>810</c:v>
                </c:pt>
                <c:pt idx="109">
                  <c:v>812</c:v>
                </c:pt>
                <c:pt idx="110">
                  <c:v>818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46510032"/>
        <c:axId val="-4465214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"球心"</c15:sqref>
                        </c15:formulaRef>
                      </c:ext>
                    </c:extLst>
                    <c:strCache>
                      <c:ptCount val="1"/>
                      <c:pt idx="0">
                        <c:v>球心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1"/>
                    </a:solidFill>
                    <a:prstDash val="solid"/>
                    <a:round/>
                  </a:ln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accent1"/>
                      </a:solidFill>
                      <a:prstDash val="solid"/>
                      <a:round/>
                    </a:ln>
                  </c:spPr>
                </c:marker>
                <c:dLbls>
                  <c:delete val="1"/>
                </c:dLbls>
                <c:xVal>
                  <c:numRef>
                    <c:f>'L1'!$B$2:$B$112</c:f>
                    <c:numCache>
                      <c:formatCode>0.00_ </c:formatCode>
                      <c:ptCount val="111"/>
                      <c:pt idx="0">
                        <c:v>944</c:v>
                      </c:pt>
                      <c:pt idx="1">
                        <c:v>940</c:v>
                      </c:pt>
                      <c:pt idx="2">
                        <c:v>936.5</c:v>
                      </c:pt>
                      <c:pt idx="3">
                        <c:v>932.5</c:v>
                      </c:pt>
                      <c:pt idx="4">
                        <c:v>929</c:v>
                      </c:pt>
                      <c:pt idx="5">
                        <c:v>925</c:v>
                      </c:pt>
                      <c:pt idx="6">
                        <c:v>921.5</c:v>
                      </c:pt>
                      <c:pt idx="7">
                        <c:v>917.5</c:v>
                      </c:pt>
                      <c:pt idx="8">
                        <c:v>913.5</c:v>
                      </c:pt>
                      <c:pt idx="9">
                        <c:v>910.5</c:v>
                      </c:pt>
                      <c:pt idx="10">
                        <c:v>906.5</c:v>
                      </c:pt>
                      <c:pt idx="11">
                        <c:v>903</c:v>
                      </c:pt>
                      <c:pt idx="12">
                        <c:v>899.5</c:v>
                      </c:pt>
                      <c:pt idx="13">
                        <c:v>895.5</c:v>
                      </c:pt>
                      <c:pt idx="14">
                        <c:v>892</c:v>
                      </c:pt>
                      <c:pt idx="15">
                        <c:v>887.5</c:v>
                      </c:pt>
                      <c:pt idx="16">
                        <c:v>884</c:v>
                      </c:pt>
                      <c:pt idx="17">
                        <c:v>880.5</c:v>
                      </c:pt>
                      <c:pt idx="18">
                        <c:v>877</c:v>
                      </c:pt>
                      <c:pt idx="19">
                        <c:v>873.5</c:v>
                      </c:pt>
                      <c:pt idx="20">
                        <c:v>869.5</c:v>
                      </c:pt>
                      <c:pt idx="21">
                        <c:v>865.5</c:v>
                      </c:pt>
                      <c:pt idx="22">
                        <c:v>861.5</c:v>
                      </c:pt>
                      <c:pt idx="23">
                        <c:v>858</c:v>
                      </c:pt>
                      <c:pt idx="24">
                        <c:v>854.5</c:v>
                      </c:pt>
                      <c:pt idx="25">
                        <c:v>850.5</c:v>
                      </c:pt>
                      <c:pt idx="26">
                        <c:v>847</c:v>
                      </c:pt>
                      <c:pt idx="27">
                        <c:v>843</c:v>
                      </c:pt>
                      <c:pt idx="28">
                        <c:v>839</c:v>
                      </c:pt>
                      <c:pt idx="29">
                        <c:v>835.5</c:v>
                      </c:pt>
                      <c:pt idx="30">
                        <c:v>832</c:v>
                      </c:pt>
                      <c:pt idx="31">
                        <c:v>828.5</c:v>
                      </c:pt>
                      <c:pt idx="32">
                        <c:v>824.5</c:v>
                      </c:pt>
                      <c:pt idx="33">
                        <c:v>821</c:v>
                      </c:pt>
                      <c:pt idx="34">
                        <c:v>817</c:v>
                      </c:pt>
                      <c:pt idx="35">
                        <c:v>813.5</c:v>
                      </c:pt>
                      <c:pt idx="36">
                        <c:v>809.5</c:v>
                      </c:pt>
                      <c:pt idx="37">
                        <c:v>805.5</c:v>
                      </c:pt>
                      <c:pt idx="38">
                        <c:v>802</c:v>
                      </c:pt>
                      <c:pt idx="39">
                        <c:v>798</c:v>
                      </c:pt>
                      <c:pt idx="40">
                        <c:v>794.5</c:v>
                      </c:pt>
                      <c:pt idx="41">
                        <c:v>791</c:v>
                      </c:pt>
                      <c:pt idx="42">
                        <c:v>787.5</c:v>
                      </c:pt>
                      <c:pt idx="43">
                        <c:v>783.5</c:v>
                      </c:pt>
                      <c:pt idx="44">
                        <c:v>780</c:v>
                      </c:pt>
                      <c:pt idx="45">
                        <c:v>776.5</c:v>
                      </c:pt>
                      <c:pt idx="46">
                        <c:v>772.5</c:v>
                      </c:pt>
                      <c:pt idx="47">
                        <c:v>768.5</c:v>
                      </c:pt>
                      <c:pt idx="48">
                        <c:v>765.5</c:v>
                      </c:pt>
                      <c:pt idx="49">
                        <c:v>761.5</c:v>
                      </c:pt>
                      <c:pt idx="50">
                        <c:v>758</c:v>
                      </c:pt>
                      <c:pt idx="51">
                        <c:v>754.5</c:v>
                      </c:pt>
                      <c:pt idx="52">
                        <c:v>751</c:v>
                      </c:pt>
                      <c:pt idx="53">
                        <c:v>747</c:v>
                      </c:pt>
                      <c:pt idx="54">
                        <c:v>743.5</c:v>
                      </c:pt>
                      <c:pt idx="55">
                        <c:v>739.5</c:v>
                      </c:pt>
                      <c:pt idx="56">
                        <c:v>736</c:v>
                      </c:pt>
                      <c:pt idx="57">
                        <c:v>733</c:v>
                      </c:pt>
                      <c:pt idx="58">
                        <c:v>729</c:v>
                      </c:pt>
                      <c:pt idx="59">
                        <c:v>725.5</c:v>
                      </c:pt>
                      <c:pt idx="60">
                        <c:v>722</c:v>
                      </c:pt>
                      <c:pt idx="61">
                        <c:v>718</c:v>
                      </c:pt>
                      <c:pt idx="62">
                        <c:v>714.5</c:v>
                      </c:pt>
                      <c:pt idx="63">
                        <c:v>711</c:v>
                      </c:pt>
                      <c:pt idx="64">
                        <c:v>707.5</c:v>
                      </c:pt>
                      <c:pt idx="65">
                        <c:v>703.5</c:v>
                      </c:pt>
                      <c:pt idx="66">
                        <c:v>701</c:v>
                      </c:pt>
                      <c:pt idx="67">
                        <c:v>697</c:v>
                      </c:pt>
                      <c:pt idx="68">
                        <c:v>693</c:v>
                      </c:pt>
                      <c:pt idx="69">
                        <c:v>689.5</c:v>
                      </c:pt>
                      <c:pt idx="70">
                        <c:v>685.5</c:v>
                      </c:pt>
                      <c:pt idx="71">
                        <c:v>681.5</c:v>
                      </c:pt>
                      <c:pt idx="72">
                        <c:v>678.5</c:v>
                      </c:pt>
                      <c:pt idx="73">
                        <c:v>674.5</c:v>
                      </c:pt>
                      <c:pt idx="74">
                        <c:v>670.5</c:v>
                      </c:pt>
                      <c:pt idx="75">
                        <c:v>667</c:v>
                      </c:pt>
                      <c:pt idx="76">
                        <c:v>663.5</c:v>
                      </c:pt>
                      <c:pt idx="77">
                        <c:v>659.5</c:v>
                      </c:pt>
                      <c:pt idx="78">
                        <c:v>656.5</c:v>
                      </c:pt>
                      <c:pt idx="79">
                        <c:v>652.5</c:v>
                      </c:pt>
                      <c:pt idx="80">
                        <c:v>649</c:v>
                      </c:pt>
                      <c:pt idx="81">
                        <c:v>645.5</c:v>
                      </c:pt>
                      <c:pt idx="82">
                        <c:v>642</c:v>
                      </c:pt>
                      <c:pt idx="83">
                        <c:v>638.5</c:v>
                      </c:pt>
                      <c:pt idx="84">
                        <c:v>634.5</c:v>
                      </c:pt>
                      <c:pt idx="85">
                        <c:v>631.5</c:v>
                      </c:pt>
                      <c:pt idx="86">
                        <c:v>627.5</c:v>
                      </c:pt>
                      <c:pt idx="87">
                        <c:v>624</c:v>
                      </c:pt>
                      <c:pt idx="88">
                        <c:v>621</c:v>
                      </c:pt>
                      <c:pt idx="89">
                        <c:v>617.5</c:v>
                      </c:pt>
                      <c:pt idx="90">
                        <c:v>614</c:v>
                      </c:pt>
                      <c:pt idx="91">
                        <c:v>610.5</c:v>
                      </c:pt>
                      <c:pt idx="92">
                        <c:v>606.5</c:v>
                      </c:pt>
                      <c:pt idx="93">
                        <c:v>603</c:v>
                      </c:pt>
                      <c:pt idx="94">
                        <c:v>599.5</c:v>
                      </c:pt>
                      <c:pt idx="95">
                        <c:v>596</c:v>
                      </c:pt>
                      <c:pt idx="96">
                        <c:v>592</c:v>
                      </c:pt>
                      <c:pt idx="97">
                        <c:v>589</c:v>
                      </c:pt>
                      <c:pt idx="98">
                        <c:v>585</c:v>
                      </c:pt>
                      <c:pt idx="99">
                        <c:v>582</c:v>
                      </c:pt>
                      <c:pt idx="100">
                        <c:v>578.5</c:v>
                      </c:pt>
                      <c:pt idx="101">
                        <c:v>575</c:v>
                      </c:pt>
                      <c:pt idx="102">
                        <c:v>571</c:v>
                      </c:pt>
                      <c:pt idx="103">
                        <c:v>567.5</c:v>
                      </c:pt>
                      <c:pt idx="104">
                        <c:v>564</c:v>
                      </c:pt>
                      <c:pt idx="105">
                        <c:v>560.5</c:v>
                      </c:pt>
                      <c:pt idx="106">
                        <c:v>557</c:v>
                      </c:pt>
                      <c:pt idx="107">
                        <c:v>553.5</c:v>
                      </c:pt>
                      <c:pt idx="108">
                        <c:v>549.5</c:v>
                      </c:pt>
                      <c:pt idx="109">
                        <c:v>546.5</c:v>
                      </c:pt>
                      <c:pt idx="110">
                        <c:v>543</c:v>
                      </c:pt>
                    </c:numCache>
                  </c:numRef>
                </c:xVal>
                <c:yVal>
                  <c:numRef>
                    <c:f>'L1'!$C$2:$C$112</c:f>
                    <c:numCache>
                      <c:formatCode>0.00_ </c:formatCode>
                      <c:ptCount val="111"/>
                      <c:pt idx="0">
                        <c:v>486.5</c:v>
                      </c:pt>
                      <c:pt idx="1">
                        <c:v>488</c:v>
                      </c:pt>
                      <c:pt idx="2">
                        <c:v>490</c:v>
                      </c:pt>
                      <c:pt idx="3">
                        <c:v>492</c:v>
                      </c:pt>
                      <c:pt idx="4">
                        <c:v>494.5</c:v>
                      </c:pt>
                      <c:pt idx="5">
                        <c:v>496</c:v>
                      </c:pt>
                      <c:pt idx="6">
                        <c:v>497.5</c:v>
                      </c:pt>
                      <c:pt idx="7">
                        <c:v>499.5</c:v>
                      </c:pt>
                      <c:pt idx="8">
                        <c:v>501.5</c:v>
                      </c:pt>
                      <c:pt idx="9">
                        <c:v>503.5</c:v>
                      </c:pt>
                      <c:pt idx="10">
                        <c:v>506</c:v>
                      </c:pt>
                      <c:pt idx="11">
                        <c:v>509</c:v>
                      </c:pt>
                      <c:pt idx="12">
                        <c:v>510</c:v>
                      </c:pt>
                      <c:pt idx="13">
                        <c:v>512</c:v>
                      </c:pt>
                      <c:pt idx="14">
                        <c:v>514</c:v>
                      </c:pt>
                      <c:pt idx="15">
                        <c:v>516.5</c:v>
                      </c:pt>
                      <c:pt idx="16">
                        <c:v>518.5</c:v>
                      </c:pt>
                      <c:pt idx="17">
                        <c:v>521.5</c:v>
                      </c:pt>
                      <c:pt idx="18">
                        <c:v>523</c:v>
                      </c:pt>
                      <c:pt idx="19">
                        <c:v>525.5</c:v>
                      </c:pt>
                      <c:pt idx="20">
                        <c:v>528</c:v>
                      </c:pt>
                      <c:pt idx="21">
                        <c:v>530.5</c:v>
                      </c:pt>
                      <c:pt idx="22">
                        <c:v>532</c:v>
                      </c:pt>
                      <c:pt idx="23">
                        <c:v>534.5</c:v>
                      </c:pt>
                      <c:pt idx="24">
                        <c:v>536.5</c:v>
                      </c:pt>
                      <c:pt idx="25">
                        <c:v>538.5</c:v>
                      </c:pt>
                      <c:pt idx="26">
                        <c:v>541</c:v>
                      </c:pt>
                      <c:pt idx="27">
                        <c:v>544.5</c:v>
                      </c:pt>
                      <c:pt idx="28">
                        <c:v>546</c:v>
                      </c:pt>
                      <c:pt idx="29">
                        <c:v>549.5</c:v>
                      </c:pt>
                      <c:pt idx="30">
                        <c:v>551</c:v>
                      </c:pt>
                      <c:pt idx="31">
                        <c:v>554</c:v>
                      </c:pt>
                      <c:pt idx="32">
                        <c:v>557</c:v>
                      </c:pt>
                      <c:pt idx="33">
                        <c:v>560</c:v>
                      </c:pt>
                      <c:pt idx="34">
                        <c:v>562</c:v>
                      </c:pt>
                      <c:pt idx="35">
                        <c:v>565</c:v>
                      </c:pt>
                      <c:pt idx="36">
                        <c:v>568</c:v>
                      </c:pt>
                      <c:pt idx="37">
                        <c:v>570.5</c:v>
                      </c:pt>
                      <c:pt idx="38">
                        <c:v>573</c:v>
                      </c:pt>
                      <c:pt idx="39">
                        <c:v>576</c:v>
                      </c:pt>
                      <c:pt idx="40">
                        <c:v>578.5</c:v>
                      </c:pt>
                      <c:pt idx="41">
                        <c:v>581.5</c:v>
                      </c:pt>
                      <c:pt idx="42">
                        <c:v>584</c:v>
                      </c:pt>
                      <c:pt idx="43">
                        <c:v>587.5</c:v>
                      </c:pt>
                      <c:pt idx="44">
                        <c:v>591</c:v>
                      </c:pt>
                      <c:pt idx="45">
                        <c:v>593.5</c:v>
                      </c:pt>
                      <c:pt idx="46">
                        <c:v>596</c:v>
                      </c:pt>
                      <c:pt idx="47">
                        <c:v>599.5</c:v>
                      </c:pt>
                      <c:pt idx="48">
                        <c:v>602.5</c:v>
                      </c:pt>
                      <c:pt idx="49">
                        <c:v>605.5</c:v>
                      </c:pt>
                      <c:pt idx="50">
                        <c:v>608</c:v>
                      </c:pt>
                      <c:pt idx="51">
                        <c:v>611</c:v>
                      </c:pt>
                      <c:pt idx="52">
                        <c:v>614.5</c:v>
                      </c:pt>
                      <c:pt idx="53">
                        <c:v>617</c:v>
                      </c:pt>
                      <c:pt idx="54">
                        <c:v>620.5</c:v>
                      </c:pt>
                      <c:pt idx="55">
                        <c:v>623.5</c:v>
                      </c:pt>
                      <c:pt idx="56">
                        <c:v>626.5</c:v>
                      </c:pt>
                      <c:pt idx="57">
                        <c:v>630</c:v>
                      </c:pt>
                      <c:pt idx="58">
                        <c:v>633</c:v>
                      </c:pt>
                      <c:pt idx="59">
                        <c:v>636.5</c:v>
                      </c:pt>
                      <c:pt idx="60">
                        <c:v>640</c:v>
                      </c:pt>
                      <c:pt idx="61">
                        <c:v>643</c:v>
                      </c:pt>
                      <c:pt idx="62">
                        <c:v>646.5</c:v>
                      </c:pt>
                      <c:pt idx="63">
                        <c:v>649</c:v>
                      </c:pt>
                      <c:pt idx="64">
                        <c:v>653</c:v>
                      </c:pt>
                      <c:pt idx="65">
                        <c:v>655.5</c:v>
                      </c:pt>
                      <c:pt idx="66">
                        <c:v>658</c:v>
                      </c:pt>
                      <c:pt idx="67">
                        <c:v>662</c:v>
                      </c:pt>
                      <c:pt idx="68">
                        <c:v>665</c:v>
                      </c:pt>
                      <c:pt idx="69">
                        <c:v>668.5</c:v>
                      </c:pt>
                      <c:pt idx="70">
                        <c:v>671.5</c:v>
                      </c:pt>
                      <c:pt idx="71">
                        <c:v>675.5</c:v>
                      </c:pt>
                      <c:pt idx="72">
                        <c:v>678.5</c:v>
                      </c:pt>
                      <c:pt idx="73">
                        <c:v>682</c:v>
                      </c:pt>
                      <c:pt idx="74">
                        <c:v>685.5</c:v>
                      </c:pt>
                      <c:pt idx="75">
                        <c:v>689</c:v>
                      </c:pt>
                      <c:pt idx="76">
                        <c:v>692</c:v>
                      </c:pt>
                      <c:pt idx="77">
                        <c:v>696</c:v>
                      </c:pt>
                      <c:pt idx="78">
                        <c:v>699</c:v>
                      </c:pt>
                      <c:pt idx="79">
                        <c:v>703</c:v>
                      </c:pt>
                      <c:pt idx="80">
                        <c:v>707</c:v>
                      </c:pt>
                      <c:pt idx="81">
                        <c:v>711</c:v>
                      </c:pt>
                      <c:pt idx="82">
                        <c:v>714.5</c:v>
                      </c:pt>
                      <c:pt idx="83">
                        <c:v>718</c:v>
                      </c:pt>
                      <c:pt idx="84">
                        <c:v>722.5</c:v>
                      </c:pt>
                      <c:pt idx="85">
                        <c:v>725.5</c:v>
                      </c:pt>
                      <c:pt idx="86">
                        <c:v>729.5</c:v>
                      </c:pt>
                      <c:pt idx="87">
                        <c:v>734</c:v>
                      </c:pt>
                      <c:pt idx="88">
                        <c:v>738</c:v>
                      </c:pt>
                      <c:pt idx="89">
                        <c:v>742.5</c:v>
                      </c:pt>
                      <c:pt idx="90">
                        <c:v>746</c:v>
                      </c:pt>
                      <c:pt idx="91">
                        <c:v>749.5</c:v>
                      </c:pt>
                      <c:pt idx="92">
                        <c:v>753.5</c:v>
                      </c:pt>
                      <c:pt idx="93">
                        <c:v>757</c:v>
                      </c:pt>
                      <c:pt idx="94">
                        <c:v>760.5</c:v>
                      </c:pt>
                      <c:pt idx="95">
                        <c:v>763.5</c:v>
                      </c:pt>
                      <c:pt idx="96">
                        <c:v>768</c:v>
                      </c:pt>
                      <c:pt idx="97">
                        <c:v>771</c:v>
                      </c:pt>
                      <c:pt idx="98">
                        <c:v>775.5</c:v>
                      </c:pt>
                      <c:pt idx="99">
                        <c:v>779.5</c:v>
                      </c:pt>
                      <c:pt idx="100">
                        <c:v>783.5</c:v>
                      </c:pt>
                      <c:pt idx="101">
                        <c:v>788</c:v>
                      </c:pt>
                      <c:pt idx="102">
                        <c:v>792</c:v>
                      </c:pt>
                      <c:pt idx="103">
                        <c:v>795.5</c:v>
                      </c:pt>
                      <c:pt idx="104">
                        <c:v>800.5</c:v>
                      </c:pt>
                      <c:pt idx="105">
                        <c:v>805</c:v>
                      </c:pt>
                      <c:pt idx="106">
                        <c:v>809</c:v>
                      </c:pt>
                      <c:pt idx="107">
                        <c:v>813</c:v>
                      </c:pt>
                      <c:pt idx="108">
                        <c:v>817.5</c:v>
                      </c:pt>
                      <c:pt idx="109">
                        <c:v>822</c:v>
                      </c:pt>
                      <c:pt idx="110">
                        <c:v>826.5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"二次项"</c15:sqref>
                        </c15:formulaRef>
                      </c:ext>
                    </c:extLst>
                    <c:strCache>
                      <c:ptCount val="1"/>
                      <c:pt idx="0">
                        <c:v>二次项</c:v>
                      </c:pt>
                    </c:strCache>
                  </c:strRef>
                </c:tx>
                <c:spPr>
                  <a:ln w="25400" cap="rnd" cmpd="sng" algn="ctr">
                    <a:solidFill>
                      <a:schemeClr val="accent2">
                        <a:alpha val="80000"/>
                      </a:schemeClr>
                    </a:solidFill>
                    <a:prstDash val="solid"/>
                    <a:round/>
                  </a:ln>
                  <a:sp3d contourW="25400"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f>'L1'!$B$2:$B$112</c:f>
                    <c:numCache>
                      <c:formatCode>0.00_ </c:formatCode>
                      <c:ptCount val="111"/>
                      <c:pt idx="0">
                        <c:v>944</c:v>
                      </c:pt>
                      <c:pt idx="1">
                        <c:v>940</c:v>
                      </c:pt>
                      <c:pt idx="2">
                        <c:v>936.5</c:v>
                      </c:pt>
                      <c:pt idx="3">
                        <c:v>932.5</c:v>
                      </c:pt>
                      <c:pt idx="4">
                        <c:v>929</c:v>
                      </c:pt>
                      <c:pt idx="5">
                        <c:v>925</c:v>
                      </c:pt>
                      <c:pt idx="6">
                        <c:v>921.5</c:v>
                      </c:pt>
                      <c:pt idx="7">
                        <c:v>917.5</c:v>
                      </c:pt>
                      <c:pt idx="8">
                        <c:v>913.5</c:v>
                      </c:pt>
                      <c:pt idx="9">
                        <c:v>910.5</c:v>
                      </c:pt>
                      <c:pt idx="10">
                        <c:v>906.5</c:v>
                      </c:pt>
                      <c:pt idx="11">
                        <c:v>903</c:v>
                      </c:pt>
                      <c:pt idx="12">
                        <c:v>899.5</c:v>
                      </c:pt>
                      <c:pt idx="13">
                        <c:v>895.5</c:v>
                      </c:pt>
                      <c:pt idx="14">
                        <c:v>892</c:v>
                      </c:pt>
                      <c:pt idx="15">
                        <c:v>887.5</c:v>
                      </c:pt>
                      <c:pt idx="16">
                        <c:v>884</c:v>
                      </c:pt>
                      <c:pt idx="17">
                        <c:v>880.5</c:v>
                      </c:pt>
                      <c:pt idx="18">
                        <c:v>877</c:v>
                      </c:pt>
                      <c:pt idx="19">
                        <c:v>873.5</c:v>
                      </c:pt>
                      <c:pt idx="20">
                        <c:v>869.5</c:v>
                      </c:pt>
                      <c:pt idx="21">
                        <c:v>865.5</c:v>
                      </c:pt>
                      <c:pt idx="22">
                        <c:v>861.5</c:v>
                      </c:pt>
                      <c:pt idx="23">
                        <c:v>858</c:v>
                      </c:pt>
                      <c:pt idx="24">
                        <c:v>854.5</c:v>
                      </c:pt>
                      <c:pt idx="25">
                        <c:v>850.5</c:v>
                      </c:pt>
                      <c:pt idx="26">
                        <c:v>847</c:v>
                      </c:pt>
                      <c:pt idx="27">
                        <c:v>843</c:v>
                      </c:pt>
                      <c:pt idx="28">
                        <c:v>839</c:v>
                      </c:pt>
                      <c:pt idx="29">
                        <c:v>835.5</c:v>
                      </c:pt>
                      <c:pt idx="30">
                        <c:v>832</c:v>
                      </c:pt>
                      <c:pt idx="31">
                        <c:v>828.5</c:v>
                      </c:pt>
                      <c:pt idx="32">
                        <c:v>824.5</c:v>
                      </c:pt>
                      <c:pt idx="33">
                        <c:v>821</c:v>
                      </c:pt>
                      <c:pt idx="34">
                        <c:v>817</c:v>
                      </c:pt>
                      <c:pt idx="35">
                        <c:v>813.5</c:v>
                      </c:pt>
                      <c:pt idx="36">
                        <c:v>809.5</c:v>
                      </c:pt>
                      <c:pt idx="37">
                        <c:v>805.5</c:v>
                      </c:pt>
                      <c:pt idx="38">
                        <c:v>802</c:v>
                      </c:pt>
                      <c:pt idx="39">
                        <c:v>798</c:v>
                      </c:pt>
                      <c:pt idx="40">
                        <c:v>794.5</c:v>
                      </c:pt>
                      <c:pt idx="41">
                        <c:v>791</c:v>
                      </c:pt>
                      <c:pt idx="42">
                        <c:v>787.5</c:v>
                      </c:pt>
                      <c:pt idx="43">
                        <c:v>783.5</c:v>
                      </c:pt>
                      <c:pt idx="44">
                        <c:v>780</c:v>
                      </c:pt>
                      <c:pt idx="45">
                        <c:v>776.5</c:v>
                      </c:pt>
                      <c:pt idx="46">
                        <c:v>772.5</c:v>
                      </c:pt>
                      <c:pt idx="47">
                        <c:v>768.5</c:v>
                      </c:pt>
                      <c:pt idx="48">
                        <c:v>765.5</c:v>
                      </c:pt>
                      <c:pt idx="49">
                        <c:v>761.5</c:v>
                      </c:pt>
                      <c:pt idx="50">
                        <c:v>758</c:v>
                      </c:pt>
                      <c:pt idx="51">
                        <c:v>754.5</c:v>
                      </c:pt>
                      <c:pt idx="52">
                        <c:v>751</c:v>
                      </c:pt>
                      <c:pt idx="53">
                        <c:v>747</c:v>
                      </c:pt>
                      <c:pt idx="54">
                        <c:v>743.5</c:v>
                      </c:pt>
                      <c:pt idx="55">
                        <c:v>739.5</c:v>
                      </c:pt>
                      <c:pt idx="56">
                        <c:v>736</c:v>
                      </c:pt>
                      <c:pt idx="57">
                        <c:v>733</c:v>
                      </c:pt>
                      <c:pt idx="58">
                        <c:v>729</c:v>
                      </c:pt>
                      <c:pt idx="59">
                        <c:v>725.5</c:v>
                      </c:pt>
                      <c:pt idx="60">
                        <c:v>722</c:v>
                      </c:pt>
                      <c:pt idx="61">
                        <c:v>718</c:v>
                      </c:pt>
                      <c:pt idx="62">
                        <c:v>714.5</c:v>
                      </c:pt>
                      <c:pt idx="63">
                        <c:v>711</c:v>
                      </c:pt>
                      <c:pt idx="64">
                        <c:v>707.5</c:v>
                      </c:pt>
                      <c:pt idx="65">
                        <c:v>703.5</c:v>
                      </c:pt>
                      <c:pt idx="66">
                        <c:v>701</c:v>
                      </c:pt>
                      <c:pt idx="67">
                        <c:v>697</c:v>
                      </c:pt>
                      <c:pt idx="68">
                        <c:v>693</c:v>
                      </c:pt>
                      <c:pt idx="69">
                        <c:v>689.5</c:v>
                      </c:pt>
                      <c:pt idx="70">
                        <c:v>685.5</c:v>
                      </c:pt>
                      <c:pt idx="71">
                        <c:v>681.5</c:v>
                      </c:pt>
                      <c:pt idx="72">
                        <c:v>678.5</c:v>
                      </c:pt>
                      <c:pt idx="73">
                        <c:v>674.5</c:v>
                      </c:pt>
                      <c:pt idx="74">
                        <c:v>670.5</c:v>
                      </c:pt>
                      <c:pt idx="75">
                        <c:v>667</c:v>
                      </c:pt>
                      <c:pt idx="76">
                        <c:v>663.5</c:v>
                      </c:pt>
                      <c:pt idx="77">
                        <c:v>659.5</c:v>
                      </c:pt>
                      <c:pt idx="78">
                        <c:v>656.5</c:v>
                      </c:pt>
                      <c:pt idx="79">
                        <c:v>652.5</c:v>
                      </c:pt>
                      <c:pt idx="80">
                        <c:v>649</c:v>
                      </c:pt>
                      <c:pt idx="81">
                        <c:v>645.5</c:v>
                      </c:pt>
                      <c:pt idx="82">
                        <c:v>642</c:v>
                      </c:pt>
                      <c:pt idx="83">
                        <c:v>638.5</c:v>
                      </c:pt>
                      <c:pt idx="84">
                        <c:v>634.5</c:v>
                      </c:pt>
                      <c:pt idx="85">
                        <c:v>631.5</c:v>
                      </c:pt>
                      <c:pt idx="86">
                        <c:v>627.5</c:v>
                      </c:pt>
                      <c:pt idx="87">
                        <c:v>624</c:v>
                      </c:pt>
                      <c:pt idx="88">
                        <c:v>621</c:v>
                      </c:pt>
                      <c:pt idx="89">
                        <c:v>617.5</c:v>
                      </c:pt>
                      <c:pt idx="90">
                        <c:v>614</c:v>
                      </c:pt>
                      <c:pt idx="91">
                        <c:v>610.5</c:v>
                      </c:pt>
                      <c:pt idx="92">
                        <c:v>606.5</c:v>
                      </c:pt>
                      <c:pt idx="93">
                        <c:v>603</c:v>
                      </c:pt>
                      <c:pt idx="94">
                        <c:v>599.5</c:v>
                      </c:pt>
                      <c:pt idx="95">
                        <c:v>596</c:v>
                      </c:pt>
                      <c:pt idx="96">
                        <c:v>592</c:v>
                      </c:pt>
                      <c:pt idx="97">
                        <c:v>589</c:v>
                      </c:pt>
                      <c:pt idx="98">
                        <c:v>585</c:v>
                      </c:pt>
                      <c:pt idx="99">
                        <c:v>582</c:v>
                      </c:pt>
                      <c:pt idx="100">
                        <c:v>578.5</c:v>
                      </c:pt>
                      <c:pt idx="101">
                        <c:v>575</c:v>
                      </c:pt>
                      <c:pt idx="102">
                        <c:v>571</c:v>
                      </c:pt>
                      <c:pt idx="103">
                        <c:v>567.5</c:v>
                      </c:pt>
                      <c:pt idx="104">
                        <c:v>564</c:v>
                      </c:pt>
                      <c:pt idx="105">
                        <c:v>560.5</c:v>
                      </c:pt>
                      <c:pt idx="106">
                        <c:v>557</c:v>
                      </c:pt>
                      <c:pt idx="107">
                        <c:v>553.5</c:v>
                      </c:pt>
                      <c:pt idx="108">
                        <c:v>549.5</c:v>
                      </c:pt>
                      <c:pt idx="109">
                        <c:v>546.5</c:v>
                      </c:pt>
                      <c:pt idx="110">
                        <c:v>543</c:v>
                      </c:pt>
                    </c:numCache>
                  </c:numRef>
                </c:xVal>
                <c:yVal>
                  <c:numRef>
                    <c:f>'L1'!$I$2:$I$112</c:f>
                    <c:numCache>
                      <c:formatCode>General</c:formatCode>
                      <c:ptCount val="111"/>
                      <c:pt idx="0">
                        <c:v>486.230226816</c:v>
                      </c:pt>
                      <c:pt idx="1">
                        <c:v>488.1959516</c:v>
                      </c:pt>
                      <c:pt idx="2">
                        <c:v>489.93940547475</c:v>
                      </c:pt>
                      <c:pt idx="3">
                        <c:v>491.95871811875</c:v>
                      </c:pt>
                      <c:pt idx="4">
                        <c:v>493.749061371</c:v>
                      </c:pt>
                      <c:pt idx="5">
                        <c:v>495.821961875</c:v>
                      </c:pt>
                      <c:pt idx="6">
                        <c:v>497.65919450475</c:v>
                      </c:pt>
                      <c:pt idx="7">
                        <c:v>499.78568286875</c:v>
                      </c:pt>
                      <c:pt idx="8">
                        <c:v>501.94075142475</c:v>
                      </c:pt>
                      <c:pt idx="9">
                        <c:v>503.57580859275</c:v>
                      </c:pt>
                      <c:pt idx="10">
                        <c:v>505.78089248475</c:v>
                      </c:pt>
                      <c:pt idx="11">
                        <c:v>507.733785579</c:v>
                      </c:pt>
                      <c:pt idx="12">
                        <c:v>509.70856038275</c:v>
                      </c:pt>
                      <c:pt idx="13">
                        <c:v>511.99223980275</c:v>
                      </c:pt>
                      <c:pt idx="14">
                        <c:v>514.013903984</c:v>
                      </c:pt>
                      <c:pt idx="15">
                        <c:v>516.64533921875</c:v>
                      </c:pt>
                      <c:pt idx="16">
                        <c:v>518.717018736</c:v>
                      </c:pt>
                      <c:pt idx="17">
                        <c:v>520.81057996275</c:v>
                      </c:pt>
                      <c:pt idx="18">
                        <c:v>522.926022899</c:v>
                      </c:pt>
                      <c:pt idx="19">
                        <c:v>525.06334754475</c:v>
                      </c:pt>
                      <c:pt idx="20">
                        <c:v>527.53279821275</c:v>
                      </c:pt>
                      <c:pt idx="21">
                        <c:v>530.03082907275</c:v>
                      </c:pt>
                      <c:pt idx="22">
                        <c:v>532.55744012475</c:v>
                      </c:pt>
                      <c:pt idx="23">
                        <c:v>534.791669484</c:v>
                      </c:pt>
                      <c:pt idx="24">
                        <c:v>537.04778055275</c:v>
                      </c:pt>
                      <c:pt idx="25">
                        <c:v>539.65298713275</c:v>
                      </c:pt>
                      <c:pt idx="26">
                        <c:v>541.955987579</c:v>
                      </c:pt>
                      <c:pt idx="27">
                        <c:v>544.614782019</c:v>
                      </c:pt>
                      <c:pt idx="28">
                        <c:v>547.302156651</c:v>
                      </c:pt>
                      <c:pt idx="29">
                        <c:v>549.67705414275</c:v>
                      </c:pt>
                      <c:pt idx="30">
                        <c:v>552.073833344</c:v>
                      </c:pt>
                      <c:pt idx="31">
                        <c:v>554.49249425475</c:v>
                      </c:pt>
                      <c:pt idx="32">
                        <c:v>557.28347208275</c:v>
                      </c:pt>
                      <c:pt idx="33">
                        <c:v>559.749022371</c:v>
                      </c:pt>
                      <c:pt idx="34">
                        <c:v>562.593588059</c:v>
                      </c:pt>
                      <c:pt idx="35">
                        <c:v>565.10602772475</c:v>
                      </c:pt>
                      <c:pt idx="36">
                        <c:v>568.00418127275</c:v>
                      </c:pt>
                      <c:pt idx="37">
                        <c:v>570.93091501275</c:v>
                      </c:pt>
                      <c:pt idx="38">
                        <c:v>573.515251724</c:v>
                      </c:pt>
                      <c:pt idx="39">
                        <c:v>576.495573324</c:v>
                      </c:pt>
                      <c:pt idx="40">
                        <c:v>579.12679941275</c:v>
                      </c:pt>
                      <c:pt idx="41">
                        <c:v>581.779907211</c:v>
                      </c:pt>
                      <c:pt idx="42">
                        <c:v>584.45489671875</c:v>
                      </c:pt>
                      <c:pt idx="43">
                        <c:v>587.53882151475</c:v>
                      </c:pt>
                      <c:pt idx="44">
                        <c:v>590.2607004</c:v>
                      </c:pt>
                      <c:pt idx="45">
                        <c:v>593.00446099475</c:v>
                      </c:pt>
                      <c:pt idx="46">
                        <c:v>596.16698131875</c:v>
                      </c:pt>
                      <c:pt idx="47">
                        <c:v>599.35808183475</c:v>
                      </c:pt>
                      <c:pt idx="48">
                        <c:v>601.77016297275</c:v>
                      </c:pt>
                      <c:pt idx="49">
                        <c:v>605.01127882475</c:v>
                      </c:pt>
                      <c:pt idx="50">
                        <c:v>607.870699884</c:v>
                      </c:pt>
                      <c:pt idx="51">
                        <c:v>610.75200265275</c:v>
                      </c:pt>
                      <c:pt idx="52">
                        <c:v>613.655187131</c:v>
                      </c:pt>
                      <c:pt idx="53">
                        <c:v>616.999906179</c:v>
                      </c:pt>
                      <c:pt idx="54">
                        <c:v>619.94998003475</c:v>
                      </c:pt>
                      <c:pt idx="55">
                        <c:v>623.34828694275</c:v>
                      </c:pt>
                      <c:pt idx="56">
                        <c:v>626.345250176</c:v>
                      </c:pt>
                      <c:pt idx="57">
                        <c:v>628.931491859</c:v>
                      </c:pt>
                      <c:pt idx="58">
                        <c:v>632.404821771</c:v>
                      </c:pt>
                      <c:pt idx="59">
                        <c:v>635.46743013275</c:v>
                      </c:pt>
                      <c:pt idx="60">
                        <c:v>638.551920204</c:v>
                      </c:pt>
                      <c:pt idx="61">
                        <c:v>642.103845644</c:v>
                      </c:pt>
                      <c:pt idx="62">
                        <c:v>645.23522509275</c:v>
                      </c:pt>
                      <c:pt idx="63">
                        <c:v>648.388486251</c:v>
                      </c:pt>
                      <c:pt idx="64">
                        <c:v>651.56362911875</c:v>
                      </c:pt>
                      <c:pt idx="65">
                        <c:v>655.21915775475</c:v>
                      </c:pt>
                      <c:pt idx="66">
                        <c:v>657.518376531</c:v>
                      </c:pt>
                      <c:pt idx="67">
                        <c:v>661.220347979</c:v>
                      </c:pt>
                      <c:pt idx="68">
                        <c:v>664.950899619</c:v>
                      </c:pt>
                      <c:pt idx="69">
                        <c:v>668.23857699275</c:v>
                      </c:pt>
                      <c:pt idx="70">
                        <c:v>672.02271649275</c:v>
                      </c:pt>
                      <c:pt idx="71">
                        <c:v>675.83543618475</c:v>
                      </c:pt>
                      <c:pt idx="72">
                        <c:v>678.71373170475</c:v>
                      </c:pt>
                      <c:pt idx="73">
                        <c:v>682.57646673275</c:v>
                      </c:pt>
                      <c:pt idx="74">
                        <c:v>686.46778195275</c:v>
                      </c:pt>
                      <c:pt idx="75">
                        <c:v>689.896127459</c:v>
                      </c:pt>
                      <c:pt idx="76">
                        <c:v>693.34635467475</c:v>
                      </c:pt>
                      <c:pt idx="77">
                        <c:v>697.31626542275</c:v>
                      </c:pt>
                      <c:pt idx="78">
                        <c:v>700.31245423475</c:v>
                      </c:pt>
                      <c:pt idx="79">
                        <c:v>704.33238031875</c:v>
                      </c:pt>
                      <c:pt idx="80">
                        <c:v>707.873260331</c:v>
                      </c:pt>
                      <c:pt idx="81">
                        <c:v>711.43602205275</c:v>
                      </c:pt>
                      <c:pt idx="82">
                        <c:v>715.020665484</c:v>
                      </c:pt>
                      <c:pt idx="83">
                        <c:v>718.62719062475</c:v>
                      </c:pt>
                      <c:pt idx="84">
                        <c:v>722.77572757275</c:v>
                      </c:pt>
                      <c:pt idx="85">
                        <c:v>725.90588603475</c:v>
                      </c:pt>
                      <c:pt idx="86">
                        <c:v>730.10443831875</c:v>
                      </c:pt>
                      <c:pt idx="87">
                        <c:v>733.801616256</c:v>
                      </c:pt>
                      <c:pt idx="88">
                        <c:v>736.988041971</c:v>
                      </c:pt>
                      <c:pt idx="89">
                        <c:v>740.72585736875</c:v>
                      </c:pt>
                      <c:pt idx="90">
                        <c:v>744.485554476</c:v>
                      </c:pt>
                      <c:pt idx="91">
                        <c:v>748.26713329275</c:v>
                      </c:pt>
                      <c:pt idx="92">
                        <c:v>752.61573158475</c:v>
                      </c:pt>
                      <c:pt idx="93">
                        <c:v>756.444199779</c:v>
                      </c:pt>
                      <c:pt idx="94">
                        <c:v>760.29454968275</c:v>
                      </c:pt>
                      <c:pt idx="95">
                        <c:v>764.166781296</c:v>
                      </c:pt>
                      <c:pt idx="96">
                        <c:v>768.618982784</c:v>
                      </c:pt>
                      <c:pt idx="97">
                        <c:v>771.976889651</c:v>
                      </c:pt>
                      <c:pt idx="98">
                        <c:v>776.479106475</c:v>
                      </c:pt>
                      <c:pt idx="99">
                        <c:v>779.874524844</c:v>
                      </c:pt>
                      <c:pt idx="100">
                        <c:v>783.85616500475</c:v>
                      </c:pt>
                      <c:pt idx="101">
                        <c:v>787.859686875</c:v>
                      </c:pt>
                      <c:pt idx="102">
                        <c:v>792.461934371</c:v>
                      </c:pt>
                      <c:pt idx="103">
                        <c:v>796.51234561875</c:v>
                      </c:pt>
                      <c:pt idx="104">
                        <c:v>800.584638576</c:v>
                      </c:pt>
                      <c:pt idx="105">
                        <c:v>804.67881324275</c:v>
                      </c:pt>
                      <c:pt idx="106">
                        <c:v>808.794869619</c:v>
                      </c:pt>
                      <c:pt idx="107">
                        <c:v>812.93280770475</c:v>
                      </c:pt>
                      <c:pt idx="108">
                        <c:v>817.68867373275</c:v>
                      </c:pt>
                      <c:pt idx="109">
                        <c:v>821.27432900475</c:v>
                      </c:pt>
                      <c:pt idx="110">
                        <c:v>825.477912219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"五次项"</c15:sqref>
                        </c15:formulaRef>
                      </c:ext>
                    </c:extLst>
                    <c:strCache>
                      <c:ptCount val="1"/>
                      <c:pt idx="0">
                        <c:v>五次项</c:v>
                      </c:pt>
                    </c:strCache>
                  </c:strRef>
                </c:tx>
                <c:spPr>
                  <a:ln w="25400" cap="rnd" cmpd="sng" algn="ctr">
                    <a:solidFill>
                      <a:schemeClr val="accent4"/>
                    </a:solidFill>
                    <a:prstDash val="sysDot"/>
                    <a:round/>
                  </a:ln>
                  <a:sp3d contourW="25400"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f>'L1'!$B$2:$B$112</c:f>
                    <c:numCache>
                      <c:formatCode>0.00_ </c:formatCode>
                      <c:ptCount val="111"/>
                      <c:pt idx="0">
                        <c:v>944</c:v>
                      </c:pt>
                      <c:pt idx="1">
                        <c:v>940</c:v>
                      </c:pt>
                      <c:pt idx="2">
                        <c:v>936.5</c:v>
                      </c:pt>
                      <c:pt idx="3">
                        <c:v>932.5</c:v>
                      </c:pt>
                      <c:pt idx="4">
                        <c:v>929</c:v>
                      </c:pt>
                      <c:pt idx="5">
                        <c:v>925</c:v>
                      </c:pt>
                      <c:pt idx="6">
                        <c:v>921.5</c:v>
                      </c:pt>
                      <c:pt idx="7">
                        <c:v>917.5</c:v>
                      </c:pt>
                      <c:pt idx="8">
                        <c:v>913.5</c:v>
                      </c:pt>
                      <c:pt idx="9">
                        <c:v>910.5</c:v>
                      </c:pt>
                      <c:pt idx="10">
                        <c:v>906.5</c:v>
                      </c:pt>
                      <c:pt idx="11">
                        <c:v>903</c:v>
                      </c:pt>
                      <c:pt idx="12">
                        <c:v>899.5</c:v>
                      </c:pt>
                      <c:pt idx="13">
                        <c:v>895.5</c:v>
                      </c:pt>
                      <c:pt idx="14">
                        <c:v>892</c:v>
                      </c:pt>
                      <c:pt idx="15">
                        <c:v>887.5</c:v>
                      </c:pt>
                      <c:pt idx="16">
                        <c:v>884</c:v>
                      </c:pt>
                      <c:pt idx="17">
                        <c:v>880.5</c:v>
                      </c:pt>
                      <c:pt idx="18">
                        <c:v>877</c:v>
                      </c:pt>
                      <c:pt idx="19">
                        <c:v>873.5</c:v>
                      </c:pt>
                      <c:pt idx="20">
                        <c:v>869.5</c:v>
                      </c:pt>
                      <c:pt idx="21">
                        <c:v>865.5</c:v>
                      </c:pt>
                      <c:pt idx="22">
                        <c:v>861.5</c:v>
                      </c:pt>
                      <c:pt idx="23">
                        <c:v>858</c:v>
                      </c:pt>
                      <c:pt idx="24">
                        <c:v>854.5</c:v>
                      </c:pt>
                      <c:pt idx="25">
                        <c:v>850.5</c:v>
                      </c:pt>
                      <c:pt idx="26">
                        <c:v>847</c:v>
                      </c:pt>
                      <c:pt idx="27">
                        <c:v>843</c:v>
                      </c:pt>
                      <c:pt idx="28">
                        <c:v>839</c:v>
                      </c:pt>
                      <c:pt idx="29">
                        <c:v>835.5</c:v>
                      </c:pt>
                      <c:pt idx="30">
                        <c:v>832</c:v>
                      </c:pt>
                      <c:pt idx="31">
                        <c:v>828.5</c:v>
                      </c:pt>
                      <c:pt idx="32">
                        <c:v>824.5</c:v>
                      </c:pt>
                      <c:pt idx="33">
                        <c:v>821</c:v>
                      </c:pt>
                      <c:pt idx="34">
                        <c:v>817</c:v>
                      </c:pt>
                      <c:pt idx="35">
                        <c:v>813.5</c:v>
                      </c:pt>
                      <c:pt idx="36">
                        <c:v>809.5</c:v>
                      </c:pt>
                      <c:pt idx="37">
                        <c:v>805.5</c:v>
                      </c:pt>
                      <c:pt idx="38">
                        <c:v>802</c:v>
                      </c:pt>
                      <c:pt idx="39">
                        <c:v>798</c:v>
                      </c:pt>
                      <c:pt idx="40">
                        <c:v>794.5</c:v>
                      </c:pt>
                      <c:pt idx="41">
                        <c:v>791</c:v>
                      </c:pt>
                      <c:pt idx="42">
                        <c:v>787.5</c:v>
                      </c:pt>
                      <c:pt idx="43">
                        <c:v>783.5</c:v>
                      </c:pt>
                      <c:pt idx="44">
                        <c:v>780</c:v>
                      </c:pt>
                      <c:pt idx="45">
                        <c:v>776.5</c:v>
                      </c:pt>
                      <c:pt idx="46">
                        <c:v>772.5</c:v>
                      </c:pt>
                      <c:pt idx="47">
                        <c:v>768.5</c:v>
                      </c:pt>
                      <c:pt idx="48">
                        <c:v>765.5</c:v>
                      </c:pt>
                      <c:pt idx="49">
                        <c:v>761.5</c:v>
                      </c:pt>
                      <c:pt idx="50">
                        <c:v>758</c:v>
                      </c:pt>
                      <c:pt idx="51">
                        <c:v>754.5</c:v>
                      </c:pt>
                      <c:pt idx="52">
                        <c:v>751</c:v>
                      </c:pt>
                      <c:pt idx="53">
                        <c:v>747</c:v>
                      </c:pt>
                      <c:pt idx="54">
                        <c:v>743.5</c:v>
                      </c:pt>
                      <c:pt idx="55">
                        <c:v>739.5</c:v>
                      </c:pt>
                      <c:pt idx="56">
                        <c:v>736</c:v>
                      </c:pt>
                      <c:pt idx="57">
                        <c:v>733</c:v>
                      </c:pt>
                      <c:pt idx="58">
                        <c:v>729</c:v>
                      </c:pt>
                      <c:pt idx="59">
                        <c:v>725.5</c:v>
                      </c:pt>
                      <c:pt idx="60">
                        <c:v>722</c:v>
                      </c:pt>
                      <c:pt idx="61">
                        <c:v>718</c:v>
                      </c:pt>
                      <c:pt idx="62">
                        <c:v>714.5</c:v>
                      </c:pt>
                      <c:pt idx="63">
                        <c:v>711</c:v>
                      </c:pt>
                      <c:pt idx="64">
                        <c:v>707.5</c:v>
                      </c:pt>
                      <c:pt idx="65">
                        <c:v>703.5</c:v>
                      </c:pt>
                      <c:pt idx="66">
                        <c:v>701</c:v>
                      </c:pt>
                      <c:pt idx="67">
                        <c:v>697</c:v>
                      </c:pt>
                      <c:pt idx="68">
                        <c:v>693</c:v>
                      </c:pt>
                      <c:pt idx="69">
                        <c:v>689.5</c:v>
                      </c:pt>
                      <c:pt idx="70">
                        <c:v>685.5</c:v>
                      </c:pt>
                      <c:pt idx="71">
                        <c:v>681.5</c:v>
                      </c:pt>
                      <c:pt idx="72">
                        <c:v>678.5</c:v>
                      </c:pt>
                      <c:pt idx="73">
                        <c:v>674.5</c:v>
                      </c:pt>
                      <c:pt idx="74">
                        <c:v>670.5</c:v>
                      </c:pt>
                      <c:pt idx="75">
                        <c:v>667</c:v>
                      </c:pt>
                      <c:pt idx="76">
                        <c:v>663.5</c:v>
                      </c:pt>
                      <c:pt idx="77">
                        <c:v>659.5</c:v>
                      </c:pt>
                      <c:pt idx="78">
                        <c:v>656.5</c:v>
                      </c:pt>
                      <c:pt idx="79">
                        <c:v>652.5</c:v>
                      </c:pt>
                      <c:pt idx="80">
                        <c:v>649</c:v>
                      </c:pt>
                      <c:pt idx="81">
                        <c:v>645.5</c:v>
                      </c:pt>
                      <c:pt idx="82">
                        <c:v>642</c:v>
                      </c:pt>
                      <c:pt idx="83">
                        <c:v>638.5</c:v>
                      </c:pt>
                      <c:pt idx="84">
                        <c:v>634.5</c:v>
                      </c:pt>
                      <c:pt idx="85">
                        <c:v>631.5</c:v>
                      </c:pt>
                      <c:pt idx="86">
                        <c:v>627.5</c:v>
                      </c:pt>
                      <c:pt idx="87">
                        <c:v>624</c:v>
                      </c:pt>
                      <c:pt idx="88">
                        <c:v>621</c:v>
                      </c:pt>
                      <c:pt idx="89">
                        <c:v>617.5</c:v>
                      </c:pt>
                      <c:pt idx="90">
                        <c:v>614</c:v>
                      </c:pt>
                      <c:pt idx="91">
                        <c:v>610.5</c:v>
                      </c:pt>
                      <c:pt idx="92">
                        <c:v>606.5</c:v>
                      </c:pt>
                      <c:pt idx="93">
                        <c:v>603</c:v>
                      </c:pt>
                      <c:pt idx="94">
                        <c:v>599.5</c:v>
                      </c:pt>
                      <c:pt idx="95">
                        <c:v>596</c:v>
                      </c:pt>
                      <c:pt idx="96">
                        <c:v>592</c:v>
                      </c:pt>
                      <c:pt idx="97">
                        <c:v>589</c:v>
                      </c:pt>
                      <c:pt idx="98">
                        <c:v>585</c:v>
                      </c:pt>
                      <c:pt idx="99">
                        <c:v>582</c:v>
                      </c:pt>
                      <c:pt idx="100">
                        <c:v>578.5</c:v>
                      </c:pt>
                      <c:pt idx="101">
                        <c:v>575</c:v>
                      </c:pt>
                      <c:pt idx="102">
                        <c:v>571</c:v>
                      </c:pt>
                      <c:pt idx="103">
                        <c:v>567.5</c:v>
                      </c:pt>
                      <c:pt idx="104">
                        <c:v>564</c:v>
                      </c:pt>
                      <c:pt idx="105">
                        <c:v>560.5</c:v>
                      </c:pt>
                      <c:pt idx="106">
                        <c:v>557</c:v>
                      </c:pt>
                      <c:pt idx="107">
                        <c:v>553.5</c:v>
                      </c:pt>
                      <c:pt idx="108">
                        <c:v>549.5</c:v>
                      </c:pt>
                      <c:pt idx="109">
                        <c:v>546.5</c:v>
                      </c:pt>
                      <c:pt idx="110">
                        <c:v>543</c:v>
                      </c:pt>
                    </c:numCache>
                  </c:numRef>
                </c:xVal>
                <c:yVal>
                  <c:numRef>
                    <c:f>'L1'!$J$2:$J$112</c:f>
                    <c:numCache>
                      <c:formatCode>General</c:formatCode>
                      <c:ptCount val="111"/>
                      <c:pt idx="0">
                        <c:v>486.546724549053</c:v>
                      </c:pt>
                      <c:pt idx="1">
                        <c:v>488.501535968639</c:v>
                      </c:pt>
                      <c:pt idx="2">
                        <c:v>490.231963092242</c:v>
                      </c:pt>
                      <c:pt idx="3">
                        <c:v>492.233021619163</c:v>
                      </c:pt>
                      <c:pt idx="4">
                        <c:v>494.004925591889</c:v>
                      </c:pt>
                      <c:pt idx="5">
                        <c:v>496.05447004101</c:v>
                      </c:pt>
                      <c:pt idx="6">
                        <c:v>497.869689356179</c:v>
                      </c:pt>
                      <c:pt idx="7">
                        <c:v>499.969686568047</c:v>
                      </c:pt>
                      <c:pt idx="8">
                        <c:v>502.097306270865</c:v>
                      </c:pt>
                      <c:pt idx="9">
                        <c:v>503.71141915232</c:v>
                      </c:pt>
                      <c:pt idx="10">
                        <c:v>505.888433962472</c:v>
                      </c:pt>
                      <c:pt idx="11">
                        <c:v>507.816907387624</c:v>
                      </c:pt>
                      <c:pt idx="12">
                        <c:v>509.76764161916</c:v>
                      </c:pt>
                      <c:pt idx="13">
                        <c:v>512.024586360067</c:v>
                      </c:pt>
                      <c:pt idx="14">
                        <c:v>514.023724603354</c:v>
                      </c:pt>
                      <c:pt idx="15">
                        <c:v>516.627680057553</c:v>
                      </c:pt>
                      <c:pt idx="16">
                        <c:v>518.679332741979</c:v>
                      </c:pt>
                      <c:pt idx="17">
                        <c:v>520.75419405066</c:v>
                      </c:pt>
                      <c:pt idx="18">
                        <c:v>522.852381833787</c:v>
                      </c:pt>
                      <c:pt idx="19">
                        <c:v>524.973997647797</c:v>
                      </c:pt>
                      <c:pt idx="20">
                        <c:v>527.427498199508</c:v>
                      </c:pt>
                      <c:pt idx="21">
                        <c:v>529.91181405831</c:v>
                      </c:pt>
                      <c:pt idx="22">
                        <c:v>532.427024229759</c:v>
                      </c:pt>
                      <c:pt idx="23">
                        <c:v>534.65322010084</c:v>
                      </c:pt>
                      <c:pt idx="24">
                        <c:v>536.903134749264</c:v>
                      </c:pt>
                      <c:pt idx="25">
                        <c:v>539.503521358602</c:v>
                      </c:pt>
                      <c:pt idx="26">
                        <c:v>541.804279776959</c:v>
                      </c:pt>
                      <c:pt idx="27">
                        <c:v>544.462748706009</c:v>
                      </c:pt>
                      <c:pt idx="28">
                        <c:v>547.152144094488</c:v>
                      </c:pt>
                      <c:pt idx="29">
                        <c:v>549.530688806014</c:v>
                      </c:pt>
                      <c:pt idx="30">
                        <c:v>551.932817265625</c:v>
                      </c:pt>
                      <c:pt idx="31">
                        <c:v>554.358470504493</c:v>
                      </c:pt>
                      <c:pt idx="32">
                        <c:v>557.159364334348</c:v>
                      </c:pt>
                      <c:pt idx="33">
                        <c:v>559.635189627782</c:v>
                      </c:pt>
                      <c:pt idx="34">
                        <c:v>562.493211883366</c:v>
                      </c:pt>
                      <c:pt idx="35">
                        <c:v>565.018822491502</c:v>
                      </c:pt>
                      <c:pt idx="36">
                        <c:v>567.933492258228</c:v>
                      </c:pt>
                      <c:pt idx="37">
                        <c:v>570.878153380253</c:v>
                      </c:pt>
                      <c:pt idx="38">
                        <c:v>573.479204525103</c:v>
                      </c:pt>
                      <c:pt idx="39">
                        <c:v>576.479648274459</c:v>
                      </c:pt>
                      <c:pt idx="40">
                        <c:v>579.129239306362</c:v>
                      </c:pt>
                      <c:pt idx="41">
                        <c:v>581.801290492147</c:v>
                      </c:pt>
                      <c:pt idx="42">
                        <c:v>584.495675715273</c:v>
                      </c:pt>
                      <c:pt idx="43">
                        <c:v>587.602156179579</c:v>
                      </c:pt>
                      <c:pt idx="44">
                        <c:v>590.343965700479</c:v>
                      </c:pt>
                      <c:pt idx="45">
                        <c:v>593.107700880375</c:v>
                      </c:pt>
                      <c:pt idx="46">
                        <c:v>596.292934030847</c:v>
                      </c:pt>
                      <c:pt idx="47">
                        <c:v>599.506435993398</c:v>
                      </c:pt>
                      <c:pt idx="48">
                        <c:v>601.934996202353</c:v>
                      </c:pt>
                      <c:pt idx="49">
                        <c:v>605.197499484284</c:v>
                      </c:pt>
                      <c:pt idx="50">
                        <c:v>608.074949447503</c:v>
                      </c:pt>
                      <c:pt idx="51">
                        <c:v>610.973510258803</c:v>
                      </c:pt>
                      <c:pt idx="52">
                        <c:v>613.893059489084</c:v>
                      </c:pt>
                      <c:pt idx="53">
                        <c:v>617.255234897634</c:v>
                      </c:pt>
                      <c:pt idx="54">
                        <c:v>620.219364030906</c:v>
                      </c:pt>
                      <c:pt idx="55">
                        <c:v>623.632193964655</c:v>
                      </c:pt>
                      <c:pt idx="56">
                        <c:v>626.64040051356</c:v>
                      </c:pt>
                      <c:pt idx="57">
                        <c:v>629.235113401538</c:v>
                      </c:pt>
                      <c:pt idx="58">
                        <c:v>632.717959454964</c:v>
                      </c:pt>
                      <c:pt idx="59">
                        <c:v>635.78713613386</c:v>
                      </c:pt>
                      <c:pt idx="60">
                        <c:v>638.876472608359</c:v>
                      </c:pt>
                      <c:pt idx="61">
                        <c:v>642.431740419058</c:v>
                      </c:pt>
                      <c:pt idx="62">
                        <c:v>645.564055725001</c:v>
                      </c:pt>
                      <c:pt idx="63">
                        <c:v>648.716344152852</c:v>
                      </c:pt>
                      <c:pt idx="64">
                        <c:v>651.888565744714</c:v>
                      </c:pt>
                      <c:pt idx="65">
                        <c:v>655.538332288219</c:v>
                      </c:pt>
                      <c:pt idx="66">
                        <c:v>657.83262518242</c:v>
                      </c:pt>
                      <c:pt idx="67">
                        <c:v>661.524588118057</c:v>
                      </c:pt>
                      <c:pt idx="68">
                        <c:v>665.242519918046</c:v>
                      </c:pt>
                      <c:pt idx="69">
                        <c:v>668.517033529888</c:v>
                      </c:pt>
                      <c:pt idx="70">
                        <c:v>672.283747414842</c:v>
                      </c:pt>
                      <c:pt idx="71">
                        <c:v>676.076569193699</c:v>
                      </c:pt>
                      <c:pt idx="72">
                        <c:v>678.938374688606</c:v>
                      </c:pt>
                      <c:pt idx="73">
                        <c:v>682.777127812543</c:v>
                      </c:pt>
                      <c:pt idx="74">
                        <c:v>686.642310561457</c:v>
                      </c:pt>
                      <c:pt idx="75">
                        <c:v>690.046156756451</c:v>
                      </c:pt>
                      <c:pt idx="76">
                        <c:v>693.470495549212</c:v>
                      </c:pt>
                      <c:pt idx="77">
                        <c:v>697.409308053921</c:v>
                      </c:pt>
                      <c:pt idx="78">
                        <c:v>700.381257016729</c:v>
                      </c:pt>
                      <c:pt idx="79">
                        <c:v>704.367862683258</c:v>
                      </c:pt>
                      <c:pt idx="80">
                        <c:v>707.878867973371</c:v>
                      </c:pt>
                      <c:pt idx="81">
                        <c:v>711.411317862325</c:v>
                      </c:pt>
                      <c:pt idx="82">
                        <c:v>714.965456753416</c:v>
                      </c:pt>
                      <c:pt idx="83">
                        <c:v>718.541549663065</c:v>
                      </c:pt>
                      <c:pt idx="84">
                        <c:v>722.65576356085</c:v>
                      </c:pt>
                      <c:pt idx="85">
                        <c:v>725.760763967318</c:v>
                      </c:pt>
                      <c:pt idx="86">
                        <c:v>729.926948373754</c:v>
                      </c:pt>
                      <c:pt idx="87">
                        <c:v>733.597287935789</c:v>
                      </c:pt>
                      <c:pt idx="88">
                        <c:v>736.762112241655</c:v>
                      </c:pt>
                      <c:pt idx="89">
                        <c:v>740.476718201257</c:v>
                      </c:pt>
                      <c:pt idx="90">
                        <c:v>744.215756634504</c:v>
                      </c:pt>
                      <c:pt idx="91">
                        <c:v>747.979677251136</c:v>
                      </c:pt>
                      <c:pt idx="92">
                        <c:v>752.312379660287</c:v>
                      </c:pt>
                      <c:pt idx="93">
                        <c:v>756.131253159058</c:v>
                      </c:pt>
                      <c:pt idx="94">
                        <c:v>759.976591172959</c:v>
                      </c:pt>
                      <c:pt idx="95">
                        <c:v>763.848952882557</c:v>
                      </c:pt>
                      <c:pt idx="96">
                        <c:v>768.308353683952</c:v>
                      </c:pt>
                      <c:pt idx="97">
                        <c:v>771.67712384798</c:v>
                      </c:pt>
                      <c:pt idx="98">
                        <c:v>776.201884112562</c:v>
                      </c:pt>
                      <c:pt idx="99">
                        <c:v>779.620806142936</c:v>
                      </c:pt>
                      <c:pt idx="100">
                        <c:v>783.637667588737</c:v>
                      </c:pt>
                      <c:pt idx="101">
                        <c:v>787.68551163867</c:v>
                      </c:pt>
                      <c:pt idx="102">
                        <c:v>792.350540546949</c:v>
                      </c:pt>
                      <c:pt idx="103">
                        <c:v>796.467394555724</c:v>
                      </c:pt>
                      <c:pt idx="104">
                        <c:v>800.61774469591</c:v>
                      </c:pt>
                      <c:pt idx="105">
                        <c:v>804.802457986381</c:v>
                      </c:pt>
                      <c:pt idx="106">
                        <c:v>809.022434858762</c:v>
                      </c:pt>
                      <c:pt idx="107">
                        <c:v>813.27860970709</c:v>
                      </c:pt>
                      <c:pt idx="108">
                        <c:v>818.188378099604</c:v>
                      </c:pt>
                      <c:pt idx="109">
                        <c:v>821.903464017907</c:v>
                      </c:pt>
                      <c:pt idx="110">
                        <c:v>826.274187027673</c:v>
                      </c:pt>
                    </c:numCache>
                  </c:numRef>
                </c:yVal>
                <c:smooth val="1"/>
              </c15:ser>
            </c15:filteredScatterSeries>
          </c:ext>
        </c:extLst>
      </c:scatterChart>
      <c:valAx>
        <c:axId val="-446510032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446521456"/>
        <c:crosses val="autoZero"/>
        <c:crossBetween val="midCat"/>
      </c:valAx>
      <c:valAx>
        <c:axId val="-446521456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446510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01335606706451"/>
          <c:y val="0.904539385847797"/>
          <c:w val="0.589798238135834"/>
          <c:h val="0.091455273698264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ebf27b-648d-49f2-bce5-b578a8560e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标志点位置图</a:t>
            </a:r>
            <a:r>
              <a:rPr lang="en-US" altLang="zh-CN"/>
              <a:t>-XY</a:t>
            </a:r>
            <a:r>
              <a:rPr lang="zh-CN" altLang="en-US"/>
              <a:t>平面投影</a:t>
            </a:r>
            <a:endParaRPr lang="zh-CN" alt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'L2'!$B$2:$B$112</c:f>
              <c:numCache>
                <c:formatCode>0.00_ </c:formatCode>
                <c:ptCount val="111"/>
                <c:pt idx="0">
                  <c:v>-29</c:v>
                </c:pt>
                <c:pt idx="1">
                  <c:v>-27</c:v>
                </c:pt>
                <c:pt idx="2">
                  <c:v>-26.5</c:v>
                </c:pt>
                <c:pt idx="3">
                  <c:v>-26.5</c:v>
                </c:pt>
                <c:pt idx="4">
                  <c:v>-25</c:v>
                </c:pt>
                <c:pt idx="5">
                  <c:v>-23</c:v>
                </c:pt>
                <c:pt idx="6">
                  <c:v>-21.5</c:v>
                </c:pt>
                <c:pt idx="7">
                  <c:v>-18.5</c:v>
                </c:pt>
                <c:pt idx="8">
                  <c:v>-15.5</c:v>
                </c:pt>
                <c:pt idx="9">
                  <c:v>-13.5</c:v>
                </c:pt>
                <c:pt idx="10">
                  <c:v>-11.5</c:v>
                </c:pt>
                <c:pt idx="11">
                  <c:v>-9</c:v>
                </c:pt>
                <c:pt idx="12">
                  <c:v>-6.5</c:v>
                </c:pt>
                <c:pt idx="13">
                  <c:v>-2.5</c:v>
                </c:pt>
                <c:pt idx="14">
                  <c:v>0</c:v>
                </c:pt>
                <c:pt idx="15">
                  <c:v>4.5</c:v>
                </c:pt>
                <c:pt idx="16">
                  <c:v>8</c:v>
                </c:pt>
                <c:pt idx="17">
                  <c:v>10.5</c:v>
                </c:pt>
                <c:pt idx="18">
                  <c:v>16</c:v>
                </c:pt>
                <c:pt idx="19">
                  <c:v>19.5</c:v>
                </c:pt>
                <c:pt idx="20">
                  <c:v>22.5</c:v>
                </c:pt>
                <c:pt idx="21">
                  <c:v>26.5</c:v>
                </c:pt>
                <c:pt idx="22">
                  <c:v>29.5</c:v>
                </c:pt>
                <c:pt idx="23">
                  <c:v>32</c:v>
                </c:pt>
                <c:pt idx="24">
                  <c:v>34.5</c:v>
                </c:pt>
                <c:pt idx="25">
                  <c:v>36.5</c:v>
                </c:pt>
                <c:pt idx="26">
                  <c:v>36</c:v>
                </c:pt>
                <c:pt idx="27">
                  <c:v>38</c:v>
                </c:pt>
                <c:pt idx="28">
                  <c:v>39</c:v>
                </c:pt>
                <c:pt idx="29">
                  <c:v>40.5</c:v>
                </c:pt>
                <c:pt idx="30">
                  <c:v>41</c:v>
                </c:pt>
                <c:pt idx="31">
                  <c:v>42.5</c:v>
                </c:pt>
                <c:pt idx="32">
                  <c:v>41.5</c:v>
                </c:pt>
                <c:pt idx="33">
                  <c:v>40</c:v>
                </c:pt>
                <c:pt idx="34">
                  <c:v>41</c:v>
                </c:pt>
                <c:pt idx="35">
                  <c:v>40.5</c:v>
                </c:pt>
                <c:pt idx="36">
                  <c:v>40.5</c:v>
                </c:pt>
                <c:pt idx="37">
                  <c:v>38.5</c:v>
                </c:pt>
                <c:pt idx="38">
                  <c:v>38</c:v>
                </c:pt>
                <c:pt idx="39">
                  <c:v>35</c:v>
                </c:pt>
                <c:pt idx="40">
                  <c:v>34.5</c:v>
                </c:pt>
                <c:pt idx="41">
                  <c:v>30</c:v>
                </c:pt>
                <c:pt idx="42">
                  <c:v>29.5</c:v>
                </c:pt>
                <c:pt idx="43">
                  <c:v>18.5</c:v>
                </c:pt>
                <c:pt idx="44">
                  <c:v>21</c:v>
                </c:pt>
                <c:pt idx="45">
                  <c:v>20.5</c:v>
                </c:pt>
                <c:pt idx="46">
                  <c:v>17.5</c:v>
                </c:pt>
                <c:pt idx="47">
                  <c:v>15.5</c:v>
                </c:pt>
                <c:pt idx="48">
                  <c:v>11.5</c:v>
                </c:pt>
                <c:pt idx="49">
                  <c:v>8.5</c:v>
                </c:pt>
                <c:pt idx="50">
                  <c:v>5</c:v>
                </c:pt>
                <c:pt idx="51">
                  <c:v>1.5</c:v>
                </c:pt>
                <c:pt idx="52">
                  <c:v>-3</c:v>
                </c:pt>
                <c:pt idx="53">
                  <c:v>-3</c:v>
                </c:pt>
                <c:pt idx="54">
                  <c:v>-6.5</c:v>
                </c:pt>
                <c:pt idx="55">
                  <c:v>-7.5</c:v>
                </c:pt>
                <c:pt idx="56">
                  <c:v>-6</c:v>
                </c:pt>
                <c:pt idx="57">
                  <c:v>-7</c:v>
                </c:pt>
                <c:pt idx="58">
                  <c:v>-22</c:v>
                </c:pt>
                <c:pt idx="59">
                  <c:v>-23.5</c:v>
                </c:pt>
                <c:pt idx="60">
                  <c:v>-25</c:v>
                </c:pt>
                <c:pt idx="61">
                  <c:v>-26</c:v>
                </c:pt>
                <c:pt idx="62">
                  <c:v>-26.5</c:v>
                </c:pt>
                <c:pt idx="63">
                  <c:v>-29</c:v>
                </c:pt>
                <c:pt idx="64">
                  <c:v>-29.5</c:v>
                </c:pt>
                <c:pt idx="65">
                  <c:v>-30.5</c:v>
                </c:pt>
                <c:pt idx="66">
                  <c:v>-31</c:v>
                </c:pt>
                <c:pt idx="67">
                  <c:v>-29</c:v>
                </c:pt>
                <c:pt idx="68">
                  <c:v>-28</c:v>
                </c:pt>
                <c:pt idx="69">
                  <c:v>-28.5</c:v>
                </c:pt>
                <c:pt idx="70">
                  <c:v>-27.5</c:v>
                </c:pt>
                <c:pt idx="71">
                  <c:v>-27.5</c:v>
                </c:pt>
                <c:pt idx="72">
                  <c:v>-27.5</c:v>
                </c:pt>
                <c:pt idx="73">
                  <c:v>-25.5</c:v>
                </c:pt>
                <c:pt idx="74">
                  <c:v>-24.5</c:v>
                </c:pt>
                <c:pt idx="75">
                  <c:v>-22</c:v>
                </c:pt>
                <c:pt idx="76">
                  <c:v>-19.5</c:v>
                </c:pt>
                <c:pt idx="77">
                  <c:v>-16.5</c:v>
                </c:pt>
                <c:pt idx="78">
                  <c:v>-14.5</c:v>
                </c:pt>
                <c:pt idx="79">
                  <c:v>-11.5</c:v>
                </c:pt>
                <c:pt idx="80">
                  <c:v>-9</c:v>
                </c:pt>
                <c:pt idx="81">
                  <c:v>-6.5</c:v>
                </c:pt>
                <c:pt idx="82">
                  <c:v>-3</c:v>
                </c:pt>
                <c:pt idx="83">
                  <c:v>0.5</c:v>
                </c:pt>
                <c:pt idx="84">
                  <c:v>4.5</c:v>
                </c:pt>
                <c:pt idx="85">
                  <c:v>7.5</c:v>
                </c:pt>
                <c:pt idx="86">
                  <c:v>11.5</c:v>
                </c:pt>
                <c:pt idx="87">
                  <c:v>14</c:v>
                </c:pt>
                <c:pt idx="88">
                  <c:v>17</c:v>
                </c:pt>
                <c:pt idx="89">
                  <c:v>20.5</c:v>
                </c:pt>
                <c:pt idx="90">
                  <c:v>23</c:v>
                </c:pt>
                <c:pt idx="91">
                  <c:v>25.5</c:v>
                </c:pt>
                <c:pt idx="92">
                  <c:v>28.5</c:v>
                </c:pt>
                <c:pt idx="93">
                  <c:v>34</c:v>
                </c:pt>
                <c:pt idx="94">
                  <c:v>35.5</c:v>
                </c:pt>
                <c:pt idx="95">
                  <c:v>35</c:v>
                </c:pt>
                <c:pt idx="96">
                  <c:v>38</c:v>
                </c:pt>
                <c:pt idx="97">
                  <c:v>38</c:v>
                </c:pt>
                <c:pt idx="98">
                  <c:v>40</c:v>
                </c:pt>
                <c:pt idx="99">
                  <c:v>40</c:v>
                </c:pt>
                <c:pt idx="100">
                  <c:v>41.5</c:v>
                </c:pt>
                <c:pt idx="101">
                  <c:v>39</c:v>
                </c:pt>
                <c:pt idx="102">
                  <c:v>41</c:v>
                </c:pt>
                <c:pt idx="103">
                  <c:v>41.5</c:v>
                </c:pt>
                <c:pt idx="104">
                  <c:v>40</c:v>
                </c:pt>
                <c:pt idx="105">
                  <c:v>39.5</c:v>
                </c:pt>
                <c:pt idx="106">
                  <c:v>38</c:v>
                </c:pt>
                <c:pt idx="107">
                  <c:v>36.5</c:v>
                </c:pt>
                <c:pt idx="108">
                  <c:v>35.5</c:v>
                </c:pt>
                <c:pt idx="109">
                  <c:v>31.5</c:v>
                </c:pt>
                <c:pt idx="110">
                  <c:v>28</c:v>
                </c:pt>
              </c:numCache>
            </c:numRef>
          </c:xVal>
          <c:yVal>
            <c:numRef>
              <c:f>'L2'!$C$2:$C$112</c:f>
              <c:numCache>
                <c:formatCode>0.00_ </c:formatCode>
                <c:ptCount val="111"/>
                <c:pt idx="0">
                  <c:v>1.5</c:v>
                </c:pt>
                <c:pt idx="1">
                  <c:v>0</c:v>
                </c:pt>
                <c:pt idx="2">
                  <c:v>-4</c:v>
                </c:pt>
                <c:pt idx="3">
                  <c:v>-12</c:v>
                </c:pt>
                <c:pt idx="4">
                  <c:v>-13.5</c:v>
                </c:pt>
                <c:pt idx="5">
                  <c:v>-17</c:v>
                </c:pt>
                <c:pt idx="6">
                  <c:v>-20.5</c:v>
                </c:pt>
                <c:pt idx="7">
                  <c:v>-23.5</c:v>
                </c:pt>
                <c:pt idx="8">
                  <c:v>-26.5</c:v>
                </c:pt>
                <c:pt idx="9">
                  <c:v>-27.5</c:v>
                </c:pt>
                <c:pt idx="10">
                  <c:v>-29</c:v>
                </c:pt>
                <c:pt idx="11">
                  <c:v>-28</c:v>
                </c:pt>
                <c:pt idx="12">
                  <c:v>-32</c:v>
                </c:pt>
                <c:pt idx="13">
                  <c:v>-31</c:v>
                </c:pt>
                <c:pt idx="14">
                  <c:v>-32</c:v>
                </c:pt>
                <c:pt idx="15">
                  <c:v>-32.5</c:v>
                </c:pt>
                <c:pt idx="16">
                  <c:v>-32.5</c:v>
                </c:pt>
                <c:pt idx="17">
                  <c:v>-31.5</c:v>
                </c:pt>
                <c:pt idx="18">
                  <c:v>-33</c:v>
                </c:pt>
                <c:pt idx="19">
                  <c:v>-30.5</c:v>
                </c:pt>
                <c:pt idx="20">
                  <c:v>-29</c:v>
                </c:pt>
                <c:pt idx="21">
                  <c:v>-26.5</c:v>
                </c:pt>
                <c:pt idx="22">
                  <c:v>-26</c:v>
                </c:pt>
                <c:pt idx="23">
                  <c:v>-23.5</c:v>
                </c:pt>
                <c:pt idx="24">
                  <c:v>-21.5</c:v>
                </c:pt>
                <c:pt idx="25">
                  <c:v>-19.5</c:v>
                </c:pt>
                <c:pt idx="26">
                  <c:v>-18</c:v>
                </c:pt>
                <c:pt idx="27">
                  <c:v>-14.5</c:v>
                </c:pt>
                <c:pt idx="28">
                  <c:v>-10</c:v>
                </c:pt>
                <c:pt idx="29">
                  <c:v>-7.5</c:v>
                </c:pt>
                <c:pt idx="30">
                  <c:v>-5</c:v>
                </c:pt>
                <c:pt idx="31">
                  <c:v>-1</c:v>
                </c:pt>
                <c:pt idx="32">
                  <c:v>3</c:v>
                </c:pt>
                <c:pt idx="33">
                  <c:v>8</c:v>
                </c:pt>
                <c:pt idx="34">
                  <c:v>8</c:v>
                </c:pt>
                <c:pt idx="35">
                  <c:v>12</c:v>
                </c:pt>
                <c:pt idx="36">
                  <c:v>15</c:v>
                </c:pt>
                <c:pt idx="37">
                  <c:v>18.5</c:v>
                </c:pt>
                <c:pt idx="38">
                  <c:v>21</c:v>
                </c:pt>
                <c:pt idx="39">
                  <c:v>24</c:v>
                </c:pt>
                <c:pt idx="40">
                  <c:v>23.5</c:v>
                </c:pt>
                <c:pt idx="41">
                  <c:v>29.5</c:v>
                </c:pt>
                <c:pt idx="42">
                  <c:v>30</c:v>
                </c:pt>
                <c:pt idx="43">
                  <c:v>30.5</c:v>
                </c:pt>
                <c:pt idx="44">
                  <c:v>38</c:v>
                </c:pt>
                <c:pt idx="45">
                  <c:v>37.5</c:v>
                </c:pt>
                <c:pt idx="46">
                  <c:v>38</c:v>
                </c:pt>
                <c:pt idx="47">
                  <c:v>40.5</c:v>
                </c:pt>
                <c:pt idx="48">
                  <c:v>40.5</c:v>
                </c:pt>
                <c:pt idx="49">
                  <c:v>40.5</c:v>
                </c:pt>
                <c:pt idx="50">
                  <c:v>40</c:v>
                </c:pt>
                <c:pt idx="51">
                  <c:v>40</c:v>
                </c:pt>
                <c:pt idx="52">
                  <c:v>40.5</c:v>
                </c:pt>
                <c:pt idx="53">
                  <c:v>39</c:v>
                </c:pt>
                <c:pt idx="54">
                  <c:v>37.5</c:v>
                </c:pt>
                <c:pt idx="55">
                  <c:v>36.5</c:v>
                </c:pt>
                <c:pt idx="56">
                  <c:v>32.5</c:v>
                </c:pt>
                <c:pt idx="57">
                  <c:v>32</c:v>
                </c:pt>
                <c:pt idx="58">
                  <c:v>30</c:v>
                </c:pt>
                <c:pt idx="59">
                  <c:v>27.5</c:v>
                </c:pt>
                <c:pt idx="60">
                  <c:v>27</c:v>
                </c:pt>
                <c:pt idx="61">
                  <c:v>24</c:v>
                </c:pt>
                <c:pt idx="62">
                  <c:v>21.5</c:v>
                </c:pt>
                <c:pt idx="63">
                  <c:v>17</c:v>
                </c:pt>
                <c:pt idx="64">
                  <c:v>16</c:v>
                </c:pt>
                <c:pt idx="65">
                  <c:v>11.5</c:v>
                </c:pt>
                <c:pt idx="66">
                  <c:v>8</c:v>
                </c:pt>
                <c:pt idx="67">
                  <c:v>6</c:v>
                </c:pt>
                <c:pt idx="68">
                  <c:v>5</c:v>
                </c:pt>
                <c:pt idx="69">
                  <c:v>-0.5</c:v>
                </c:pt>
                <c:pt idx="70">
                  <c:v>-4.5</c:v>
                </c:pt>
                <c:pt idx="71">
                  <c:v>-9.5</c:v>
                </c:pt>
                <c:pt idx="72">
                  <c:v>-17.5</c:v>
                </c:pt>
                <c:pt idx="73">
                  <c:v>-17</c:v>
                </c:pt>
                <c:pt idx="74">
                  <c:v>-24.5</c:v>
                </c:pt>
                <c:pt idx="75">
                  <c:v>-27</c:v>
                </c:pt>
                <c:pt idx="76">
                  <c:v>-27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-28</c:v>
                </c:pt>
                <c:pt idx="82">
                  <c:v>-29.5</c:v>
                </c:pt>
                <c:pt idx="83">
                  <c:v>-32</c:v>
                </c:pt>
                <c:pt idx="84">
                  <c:v>-31.5</c:v>
                </c:pt>
                <c:pt idx="85">
                  <c:v>-30.5</c:v>
                </c:pt>
                <c:pt idx="86">
                  <c:v>-33.5</c:v>
                </c:pt>
                <c:pt idx="87">
                  <c:v>-30</c:v>
                </c:pt>
                <c:pt idx="88">
                  <c:v>-29</c:v>
                </c:pt>
                <c:pt idx="89">
                  <c:v>-29.5</c:v>
                </c:pt>
                <c:pt idx="90">
                  <c:v>-27</c:v>
                </c:pt>
                <c:pt idx="91">
                  <c:v>-25.5</c:v>
                </c:pt>
                <c:pt idx="92">
                  <c:v>-23.5</c:v>
                </c:pt>
                <c:pt idx="93">
                  <c:v>-21</c:v>
                </c:pt>
                <c:pt idx="94">
                  <c:v>-18.5</c:v>
                </c:pt>
                <c:pt idx="95">
                  <c:v>-17.5</c:v>
                </c:pt>
                <c:pt idx="96">
                  <c:v>-15</c:v>
                </c:pt>
                <c:pt idx="97">
                  <c:v>-13</c:v>
                </c:pt>
                <c:pt idx="98">
                  <c:v>-7.5</c:v>
                </c:pt>
                <c:pt idx="99">
                  <c:v>-5.5</c:v>
                </c:pt>
                <c:pt idx="100">
                  <c:v>-1.5</c:v>
                </c:pt>
                <c:pt idx="101">
                  <c:v>3</c:v>
                </c:pt>
                <c:pt idx="102">
                  <c:v>5</c:v>
                </c:pt>
                <c:pt idx="103">
                  <c:v>7.5</c:v>
                </c:pt>
                <c:pt idx="104">
                  <c:v>11.5</c:v>
                </c:pt>
                <c:pt idx="105">
                  <c:v>16</c:v>
                </c:pt>
                <c:pt idx="106">
                  <c:v>18</c:v>
                </c:pt>
                <c:pt idx="107">
                  <c:v>21</c:v>
                </c:pt>
                <c:pt idx="108">
                  <c:v>24.5</c:v>
                </c:pt>
                <c:pt idx="109">
                  <c:v>27</c:v>
                </c:pt>
                <c:pt idx="110">
                  <c:v>29.5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"YUAN"</c:f>
              <c:strCache>
                <c:ptCount val="1"/>
                <c:pt idx="0">
                  <c:v>YUAN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'L2'!$E$2:$E$20</c:f>
              <c:numCache>
                <c:formatCode>0.00_ </c:formatCode>
                <c:ptCount val="19"/>
                <c:pt idx="0">
                  <c:v>-20.6877747637451</c:v>
                </c:pt>
                <c:pt idx="1">
                  <c:v>-4.84712588889456</c:v>
                </c:pt>
                <c:pt idx="2">
                  <c:v>11.5775713079727</c:v>
                </c:pt>
                <c:pt idx="3">
                  <c:v>26.6072436487823</c:v>
                </c:pt>
                <c:pt idx="4">
                  <c:v>38.4309097164389</c:v>
                </c:pt>
                <c:pt idx="5">
                  <c:v>45.6238917771294</c:v>
                </c:pt>
                <c:pt idx="6">
                  <c:v>47.3194805274153</c:v>
                </c:pt>
                <c:pt idx="7">
                  <c:v>43.3133681388775</c:v>
                </c:pt>
                <c:pt idx="8">
                  <c:v>34.0882660722798</c:v>
                </c:pt>
                <c:pt idx="9">
                  <c:v>20.7557413687781</c:v>
                </c:pt>
                <c:pt idx="10">
                  <c:v>4.92227978092198</c:v>
                </c:pt>
                <c:pt idx="11">
                  <c:v>-11.5042857024052</c:v>
                </c:pt>
                <c:pt idx="12">
                  <c:v>-26.5446567863084</c:v>
                </c:pt>
                <c:pt idx="13">
                  <c:v>-38.3865629221342</c:v>
                </c:pt>
                <c:pt idx="14">
                  <c:v>-45.6031285620543</c:v>
                </c:pt>
                <c:pt idx="15">
                  <c:v>-47.3248027289891</c:v>
                </c:pt>
                <c:pt idx="16">
                  <c:v>-43.3441344651324</c:v>
                </c:pt>
                <c:pt idx="17">
                  <c:v>-34.1407693735286</c:v>
                </c:pt>
                <c:pt idx="18">
                  <c:v>-20.8236553259407</c:v>
                </c:pt>
              </c:numCache>
            </c:numRef>
          </c:xVal>
          <c:yVal>
            <c:numRef>
              <c:f>'L2'!$F$2:$F$20</c:f>
              <c:numCache>
                <c:formatCode>0.00_ </c:formatCode>
                <c:ptCount val="19"/>
                <c:pt idx="0">
                  <c:v>-42.6915632804018</c:v>
                </c:pt>
                <c:pt idx="1">
                  <c:v>-47.1917256583949</c:v>
                </c:pt>
                <c:pt idx="2">
                  <c:v>-46.0055805594148</c:v>
                </c:pt>
                <c:pt idx="3">
                  <c:v>-39.2760510414977</c:v>
                </c:pt>
                <c:pt idx="4">
                  <c:v>-27.8140032783294</c:v>
                </c:pt>
                <c:pt idx="5">
                  <c:v>-13.0005422621051</c:v>
                </c:pt>
                <c:pt idx="6">
                  <c:v>3.37940270100506</c:v>
                </c:pt>
                <c:pt idx="7">
                  <c:v>19.352150796903</c:v>
                </c:pt>
                <c:pt idx="8">
                  <c:v>32.9930858845525</c:v>
                </c:pt>
                <c:pt idx="9">
                  <c:v>42.6585606910546</c:v>
                </c:pt>
                <c:pt idx="10">
                  <c:v>47.1839460172454</c:v>
                </c:pt>
                <c:pt idx="11">
                  <c:v>46.0239612645134</c:v>
                </c:pt>
                <c:pt idx="12">
                  <c:v>39.3183773329608</c:v>
                </c:pt>
                <c:pt idx="13">
                  <c:v>27.875175103038</c:v>
                </c:pt>
                <c:pt idx="14">
                  <c:v>13.0731887981757</c:v>
                </c:pt>
                <c:pt idx="15">
                  <c:v>-3.30403490633291</c:v>
                </c:pt>
                <c:pt idx="16">
                  <c:v>-19.283143091014</c:v>
                </c:pt>
                <c:pt idx="17">
                  <c:v>-32.9387532639523</c:v>
                </c:pt>
                <c:pt idx="18">
                  <c:v>-42.6254498963521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46509488"/>
        <c:axId val="-446508944"/>
      </c:scatterChart>
      <c:valAx>
        <c:axId val="-44650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446508944"/>
        <c:crosses val="autoZero"/>
        <c:crossBetween val="midCat"/>
      </c:valAx>
      <c:valAx>
        <c:axId val="-4465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446509488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0ffa31fd-a560-46a7-a819-d21ff294c4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旋转轴位置图</a:t>
            </a:r>
            <a:r>
              <a:rPr lang="en-US" altLang="zh-CN"/>
              <a:t>-XY</a:t>
            </a:r>
            <a:r>
              <a:rPr lang="zh-CN" altLang="en-US"/>
              <a:t>平面投影</a:t>
            </a:r>
            <a:endParaRPr lang="zh-CN" alt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"YUAN"</c:f>
              <c:strCache>
                <c:ptCount val="1"/>
                <c:pt idx="0">
                  <c:v>YUAN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'L3'!$I$2:$I$20</c:f>
              <c:numCache>
                <c:formatCode>General</c:formatCode>
                <c:ptCount val="19"/>
                <c:pt idx="0">
                  <c:v>-20.6877747637451</c:v>
                </c:pt>
                <c:pt idx="1">
                  <c:v>-4.84712588889456</c:v>
                </c:pt>
                <c:pt idx="2">
                  <c:v>11.5775713079727</c:v>
                </c:pt>
                <c:pt idx="3">
                  <c:v>26.6072436487823</c:v>
                </c:pt>
                <c:pt idx="4">
                  <c:v>38.4309097164389</c:v>
                </c:pt>
                <c:pt idx="5">
                  <c:v>45.6238917771294</c:v>
                </c:pt>
                <c:pt idx="6">
                  <c:v>47.3194805274153</c:v>
                </c:pt>
                <c:pt idx="7">
                  <c:v>43.3133681388775</c:v>
                </c:pt>
                <c:pt idx="8">
                  <c:v>34.0882660722798</c:v>
                </c:pt>
                <c:pt idx="9">
                  <c:v>20.7557413687781</c:v>
                </c:pt>
                <c:pt idx="10">
                  <c:v>4.92227978092198</c:v>
                </c:pt>
                <c:pt idx="11">
                  <c:v>-11.5042857024052</c:v>
                </c:pt>
                <c:pt idx="12">
                  <c:v>-26.5446567863084</c:v>
                </c:pt>
                <c:pt idx="13">
                  <c:v>-38.3865629221342</c:v>
                </c:pt>
                <c:pt idx="14">
                  <c:v>-45.6031285620543</c:v>
                </c:pt>
                <c:pt idx="15">
                  <c:v>-47.3248027289891</c:v>
                </c:pt>
                <c:pt idx="16">
                  <c:v>-43.3441344651324</c:v>
                </c:pt>
                <c:pt idx="17">
                  <c:v>-34.1407693735286</c:v>
                </c:pt>
                <c:pt idx="18">
                  <c:v>-20.8236553259407</c:v>
                </c:pt>
              </c:numCache>
            </c:numRef>
          </c:xVal>
          <c:yVal>
            <c:numRef>
              <c:f>'L3'!$J$2:$J$20</c:f>
              <c:numCache>
                <c:formatCode>General</c:formatCode>
                <c:ptCount val="19"/>
                <c:pt idx="0">
                  <c:v>-42.6915632804018</c:v>
                </c:pt>
                <c:pt idx="1">
                  <c:v>-47.1917256583949</c:v>
                </c:pt>
                <c:pt idx="2">
                  <c:v>-46.0055805594148</c:v>
                </c:pt>
                <c:pt idx="3">
                  <c:v>-39.2760510414977</c:v>
                </c:pt>
                <c:pt idx="4">
                  <c:v>-27.8140032783294</c:v>
                </c:pt>
                <c:pt idx="5">
                  <c:v>-13.0005422621051</c:v>
                </c:pt>
                <c:pt idx="6">
                  <c:v>3.37940270100506</c:v>
                </c:pt>
                <c:pt idx="7">
                  <c:v>19.352150796903</c:v>
                </c:pt>
                <c:pt idx="8">
                  <c:v>32.9930858845525</c:v>
                </c:pt>
                <c:pt idx="9">
                  <c:v>42.6585606910546</c:v>
                </c:pt>
                <c:pt idx="10">
                  <c:v>47.1839460172454</c:v>
                </c:pt>
                <c:pt idx="11">
                  <c:v>46.0239612645134</c:v>
                </c:pt>
                <c:pt idx="12">
                  <c:v>39.3183773329608</c:v>
                </c:pt>
                <c:pt idx="13">
                  <c:v>27.875175103038</c:v>
                </c:pt>
                <c:pt idx="14">
                  <c:v>13.0731887981757</c:v>
                </c:pt>
                <c:pt idx="15">
                  <c:v>-3.30403490633291</c:v>
                </c:pt>
                <c:pt idx="16">
                  <c:v>-19.283143091014</c:v>
                </c:pt>
                <c:pt idx="17">
                  <c:v>-32.9387532639523</c:v>
                </c:pt>
                <c:pt idx="18">
                  <c:v>-42.6254498963521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46520912"/>
        <c:axId val="-684482128"/>
      </c:scatterChart>
      <c:scatterChart>
        <c:scatterStyle val="marker"/>
        <c:varyColors val="0"/>
        <c:ser>
          <c:idx val="2"/>
          <c:order val="1"/>
          <c:spPr>
            <a:ln w="381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'L3'!$F$2:$F$112</c:f>
              <c:numCache>
                <c:formatCode>0.00_ </c:formatCode>
                <c:ptCount val="111"/>
                <c:pt idx="0">
                  <c:v>20.1030526493564</c:v>
                </c:pt>
                <c:pt idx="1">
                  <c:v>38.7183670999168</c:v>
                </c:pt>
                <c:pt idx="2">
                  <c:v>39.2817309620215</c:v>
                </c:pt>
                <c:pt idx="3">
                  <c:v>22.9108575748737</c:v>
                </c:pt>
                <c:pt idx="4">
                  <c:v>33.4695738333656</c:v>
                </c:pt>
                <c:pt idx="5">
                  <c:v>37.7153356215637</c:v>
                </c:pt>
                <c:pt idx="6">
                  <c:v>26.9466904161258</c:v>
                </c:pt>
                <c:pt idx="7">
                  <c:v>29.3612730626216</c:v>
                </c:pt>
                <c:pt idx="8">
                  <c:v>15.5191043123175</c:v>
                </c:pt>
                <c:pt idx="9">
                  <c:v>26.5639534292857</c:v>
                </c:pt>
                <c:pt idx="10">
                  <c:v>-25.6340919999863</c:v>
                </c:pt>
                <c:pt idx="11">
                  <c:v>41.5167015817215</c:v>
                </c:pt>
                <c:pt idx="12">
                  <c:v>-18.2683706916744</c:v>
                </c:pt>
                <c:pt idx="13">
                  <c:v>21.6011087987585</c:v>
                </c:pt>
                <c:pt idx="14">
                  <c:v>9.10700610367123</c:v>
                </c:pt>
                <c:pt idx="15">
                  <c:v>5.88963248813118</c:v>
                </c:pt>
                <c:pt idx="16">
                  <c:v>-15.5922218334273</c:v>
                </c:pt>
                <c:pt idx="17">
                  <c:v>24.9298994073767</c:v>
                </c:pt>
                <c:pt idx="18">
                  <c:v>-21.6825150246407</c:v>
                </c:pt>
                <c:pt idx="19">
                  <c:v>-8.08239423613401</c:v>
                </c:pt>
                <c:pt idx="20">
                  <c:v>-9.78673523538129</c:v>
                </c:pt>
                <c:pt idx="21">
                  <c:v>13.365554629666</c:v>
                </c:pt>
                <c:pt idx="22">
                  <c:v>-14.387679950552</c:v>
                </c:pt>
                <c:pt idx="23">
                  <c:v>-4.63432548429122</c:v>
                </c:pt>
                <c:pt idx="24">
                  <c:v>-7.05744638135305</c:v>
                </c:pt>
                <c:pt idx="25">
                  <c:v>-29.057720012308</c:v>
                </c:pt>
                <c:pt idx="26">
                  <c:v>-18.4623383212634</c:v>
                </c:pt>
                <c:pt idx="27">
                  <c:v>-25.7102026969503</c:v>
                </c:pt>
                <c:pt idx="28">
                  <c:v>-14.29877869621</c:v>
                </c:pt>
                <c:pt idx="29">
                  <c:v>-22.4224765502413</c:v>
                </c:pt>
                <c:pt idx="30">
                  <c:v>-16.9417575276647</c:v>
                </c:pt>
                <c:pt idx="31">
                  <c:v>-19.2386231915334</c:v>
                </c:pt>
                <c:pt idx="32">
                  <c:v>-20.291029638834</c:v>
                </c:pt>
                <c:pt idx="33">
                  <c:v>-6.93204186766274</c:v>
                </c:pt>
                <c:pt idx="34">
                  <c:v>-23.5335574899441</c:v>
                </c:pt>
                <c:pt idx="35">
                  <c:v>-24.6567826093621</c:v>
                </c:pt>
                <c:pt idx="36">
                  <c:v>-12.8903300997685</c:v>
                </c:pt>
                <c:pt idx="37">
                  <c:v>-26.8743701788412</c:v>
                </c:pt>
                <c:pt idx="38">
                  <c:v>-2.88323274211851</c:v>
                </c:pt>
                <c:pt idx="39">
                  <c:v>28.2282536340228</c:v>
                </c:pt>
                <c:pt idx="40">
                  <c:v>-19.9819969933455</c:v>
                </c:pt>
                <c:pt idx="41">
                  <c:v>-15.4972623138957</c:v>
                </c:pt>
                <c:pt idx="42">
                  <c:v>18.8895585724562</c:v>
                </c:pt>
                <c:pt idx="43">
                  <c:v>-42.2404594497183</c:v>
                </c:pt>
                <c:pt idx="44">
                  <c:v>40.114094223477</c:v>
                </c:pt>
                <c:pt idx="45">
                  <c:v>15.9883566972809</c:v>
                </c:pt>
                <c:pt idx="46">
                  <c:v>-39.099040092086</c:v>
                </c:pt>
                <c:pt idx="47">
                  <c:v>22.2646574167945</c:v>
                </c:pt>
                <c:pt idx="48">
                  <c:v>16.4400244905819</c:v>
                </c:pt>
                <c:pt idx="49">
                  <c:v>21.4340088383111</c:v>
                </c:pt>
                <c:pt idx="50">
                  <c:v>5.11262668404474</c:v>
                </c:pt>
                <c:pt idx="51">
                  <c:v>-10.899664778017</c:v>
                </c:pt>
                <c:pt idx="52">
                  <c:v>47.3449675825613</c:v>
                </c:pt>
                <c:pt idx="53">
                  <c:v>23.9872758669552</c:v>
                </c:pt>
                <c:pt idx="54">
                  <c:v>38.3577217086319</c:v>
                </c:pt>
                <c:pt idx="55">
                  <c:v>45.5902558154483</c:v>
                </c:pt>
                <c:pt idx="56">
                  <c:v>22.6999666989613</c:v>
                </c:pt>
                <c:pt idx="57">
                  <c:v>-5.58043595799328</c:v>
                </c:pt>
                <c:pt idx="58">
                  <c:v>35.069696804143</c:v>
                </c:pt>
                <c:pt idx="59">
                  <c:v>-3.02262259346184</c:v>
                </c:pt>
                <c:pt idx="60">
                  <c:v>37.7203575041272</c:v>
                </c:pt>
                <c:pt idx="61">
                  <c:v>38.6441062405928</c:v>
                </c:pt>
                <c:pt idx="62">
                  <c:v>30.866671052028</c:v>
                </c:pt>
                <c:pt idx="63">
                  <c:v>30.7552646439816</c:v>
                </c:pt>
                <c:pt idx="64">
                  <c:v>35.3077039997528</c:v>
                </c:pt>
                <c:pt idx="65">
                  <c:v>35.4916853168334</c:v>
                </c:pt>
                <c:pt idx="66">
                  <c:v>24.7483631490834</c:v>
                </c:pt>
                <c:pt idx="67">
                  <c:v>25.3056740618622</c:v>
                </c:pt>
                <c:pt idx="68">
                  <c:v>37.8329481270309</c:v>
                </c:pt>
                <c:pt idx="69">
                  <c:v>36.5291093942895</c:v>
                </c:pt>
                <c:pt idx="70">
                  <c:v>38.6280422228705</c:v>
                </c:pt>
                <c:pt idx="71">
                  <c:v>38.5761537528318</c:v>
                </c:pt>
                <c:pt idx="72">
                  <c:v>-17.6914860693737</c:v>
                </c:pt>
                <c:pt idx="73">
                  <c:v>39.8643223110228</c:v>
                </c:pt>
                <c:pt idx="74">
                  <c:v>24.2346714346621</c:v>
                </c:pt>
                <c:pt idx="75">
                  <c:v>-14.3800405213674</c:v>
                </c:pt>
                <c:pt idx="76">
                  <c:v>29.220784074942</c:v>
                </c:pt>
                <c:pt idx="77">
                  <c:v>-12.6622288979604</c:v>
                </c:pt>
                <c:pt idx="78">
                  <c:v>-10.6284776676694</c:v>
                </c:pt>
                <c:pt idx="79">
                  <c:v>-8.37578228449755</c:v>
                </c:pt>
                <c:pt idx="80">
                  <c:v>-35.120200104081</c:v>
                </c:pt>
                <c:pt idx="81">
                  <c:v>19.7560196708393</c:v>
                </c:pt>
                <c:pt idx="82">
                  <c:v>32.0376469581847</c:v>
                </c:pt>
                <c:pt idx="83">
                  <c:v>-5.67237725829842</c:v>
                </c:pt>
                <c:pt idx="84">
                  <c:v>-14.6973631927697</c:v>
                </c:pt>
                <c:pt idx="85">
                  <c:v>35.7835584485294</c:v>
                </c:pt>
                <c:pt idx="86">
                  <c:v>-38.8569372796076</c:v>
                </c:pt>
                <c:pt idx="87">
                  <c:v>-5.89217882933808</c:v>
                </c:pt>
                <c:pt idx="88">
                  <c:v>20.5900513877198</c:v>
                </c:pt>
                <c:pt idx="89">
                  <c:v>-25.9880094411011</c:v>
                </c:pt>
                <c:pt idx="90">
                  <c:v>-9.63907102917317</c:v>
                </c:pt>
                <c:pt idx="91">
                  <c:v>-9.24592824105708</c:v>
                </c:pt>
                <c:pt idx="92">
                  <c:v>3.3160134808834</c:v>
                </c:pt>
                <c:pt idx="93">
                  <c:v>-21.14064338595</c:v>
                </c:pt>
                <c:pt idx="94">
                  <c:v>-28.7490833027711</c:v>
                </c:pt>
                <c:pt idx="95">
                  <c:v>-4.1571632359714</c:v>
                </c:pt>
                <c:pt idx="96">
                  <c:v>-28.3849442837221</c:v>
                </c:pt>
                <c:pt idx="97">
                  <c:v>-21.598121996693</c:v>
                </c:pt>
                <c:pt idx="98">
                  <c:v>-25.4910344413482</c:v>
                </c:pt>
                <c:pt idx="99">
                  <c:v>-18.8968610408576</c:v>
                </c:pt>
                <c:pt idx="100">
                  <c:v>-16.9164309617241</c:v>
                </c:pt>
                <c:pt idx="101">
                  <c:v>-14.2663058818814</c:v>
                </c:pt>
                <c:pt idx="102">
                  <c:v>-22.0309959079919</c:v>
                </c:pt>
                <c:pt idx="103">
                  <c:v>-18.0128256110811</c:v>
                </c:pt>
                <c:pt idx="104">
                  <c:v>-25.3572669460475</c:v>
                </c:pt>
                <c:pt idx="105">
                  <c:v>-8.62595942885129</c:v>
                </c:pt>
                <c:pt idx="106">
                  <c:v>-20.2907782701106</c:v>
                </c:pt>
                <c:pt idx="107">
                  <c:v>-28.7140061153553</c:v>
                </c:pt>
                <c:pt idx="108">
                  <c:v>5.31628086852017</c:v>
                </c:pt>
                <c:pt idx="109">
                  <c:v>-4.28405441836186</c:v>
                </c:pt>
                <c:pt idx="110">
                  <c:v>-22.6046926700352</c:v>
                </c:pt>
              </c:numCache>
            </c:numRef>
          </c:xVal>
          <c:yVal>
            <c:numRef>
              <c:f>'L3'!$G$2:$G$112</c:f>
              <c:numCache>
                <c:formatCode>0.00_ </c:formatCode>
                <c:ptCount val="111"/>
                <c:pt idx="0">
                  <c:v>40.6545765971546</c:v>
                </c:pt>
                <c:pt idx="1">
                  <c:v>5.76140541221761</c:v>
                </c:pt>
                <c:pt idx="2">
                  <c:v>-5.43725194211719</c:v>
                </c:pt>
                <c:pt idx="3">
                  <c:v>32.0261232836658</c:v>
                </c:pt>
                <c:pt idx="4">
                  <c:v>17.9748139306004</c:v>
                </c:pt>
                <c:pt idx="5">
                  <c:v>9.47226437210756</c:v>
                </c:pt>
                <c:pt idx="6">
                  <c:v>25.3368423759445</c:v>
                </c:pt>
                <c:pt idx="7">
                  <c:v>22.9214957795862</c:v>
                </c:pt>
                <c:pt idx="8">
                  <c:v>32.730905960856</c:v>
                </c:pt>
                <c:pt idx="9">
                  <c:v>25.9009274765724</c:v>
                </c:pt>
                <c:pt idx="10">
                  <c:v>34.6312879094639</c:v>
                </c:pt>
                <c:pt idx="11">
                  <c:v>12.3652258442654</c:v>
                </c:pt>
                <c:pt idx="12">
                  <c:v>33.7294150554836</c:v>
                </c:pt>
                <c:pt idx="13">
                  <c:v>31.1809541600706</c:v>
                </c:pt>
                <c:pt idx="14">
                  <c:v>34.3708097101215</c:v>
                </c:pt>
                <c:pt idx="15">
                  <c:v>34.5371604543484</c:v>
                </c:pt>
                <c:pt idx="16">
                  <c:v>30.3023384598312</c:v>
                </c:pt>
                <c:pt idx="17">
                  <c:v>33.1210707573498</c:v>
                </c:pt>
                <c:pt idx="18">
                  <c:v>22.205478761306</c:v>
                </c:pt>
                <c:pt idx="19">
                  <c:v>30.470196453668</c:v>
                </c:pt>
                <c:pt idx="20">
                  <c:v>29.5274839463373</c:v>
                </c:pt>
                <c:pt idx="21">
                  <c:v>39.0454430966646</c:v>
                </c:pt>
                <c:pt idx="22">
                  <c:v>23.2482359210575</c:v>
                </c:pt>
                <c:pt idx="23">
                  <c:v>32.0239800964598</c:v>
                </c:pt>
                <c:pt idx="24">
                  <c:v>29.8446465221859</c:v>
                </c:pt>
                <c:pt idx="25">
                  <c:v>-32.8267716178736</c:v>
                </c:pt>
                <c:pt idx="26">
                  <c:v>18.3827166138349</c:v>
                </c:pt>
                <c:pt idx="27">
                  <c:v>-0.236555056207668</c:v>
                </c:pt>
                <c:pt idx="28">
                  <c:v>29.7435633413743</c:v>
                </c:pt>
                <c:pt idx="29">
                  <c:v>7.81395678369446</c:v>
                </c:pt>
                <c:pt idx="30">
                  <c:v>26.573181329478</c:v>
                </c:pt>
                <c:pt idx="31">
                  <c:v>-21.2025299075657</c:v>
                </c:pt>
                <c:pt idx="32">
                  <c:v>-17.3124814484841</c:v>
                </c:pt>
                <c:pt idx="33">
                  <c:v>46.7602939812236</c:v>
                </c:pt>
                <c:pt idx="34">
                  <c:v>6.12608452391633</c:v>
                </c:pt>
                <c:pt idx="35">
                  <c:v>22.2061504316865</c:v>
                </c:pt>
                <c:pt idx="36">
                  <c:v>-19.3248606446429</c:v>
                </c:pt>
                <c:pt idx="37">
                  <c:v>16.2627729994023</c:v>
                </c:pt>
                <c:pt idx="38">
                  <c:v>-28.9200263654182</c:v>
                </c:pt>
                <c:pt idx="39">
                  <c:v>-37.9538922326539</c:v>
                </c:pt>
                <c:pt idx="40">
                  <c:v>-10.6494900271796</c:v>
                </c:pt>
                <c:pt idx="41">
                  <c:v>-15.4972623138957</c:v>
                </c:pt>
                <c:pt idx="42">
                  <c:v>-36.2086476652478</c:v>
                </c:pt>
                <c:pt idx="43">
                  <c:v>21.1488057097876</c:v>
                </c:pt>
                <c:pt idx="44">
                  <c:v>-24.7859940483785</c:v>
                </c:pt>
                <c:pt idx="45">
                  <c:v>-27.8953832597624</c:v>
                </c:pt>
                <c:pt idx="46">
                  <c:v>2.2473590147548</c:v>
                </c:pt>
                <c:pt idx="47">
                  <c:v>-24.6194967244799</c:v>
                </c:pt>
                <c:pt idx="48">
                  <c:v>-24.6645159980842</c:v>
                </c:pt>
                <c:pt idx="49">
                  <c:v>-24.3314887348131</c:v>
                </c:pt>
                <c:pt idx="50">
                  <c:v>-25.4624661550467</c:v>
                </c:pt>
                <c:pt idx="51">
                  <c:v>-24.5014821859716</c:v>
                </c:pt>
                <c:pt idx="52">
                  <c:v>2.52088652979449</c:v>
                </c:pt>
                <c:pt idx="53">
                  <c:v>-21.9372593263609</c:v>
                </c:pt>
                <c:pt idx="54">
                  <c:v>-12.2826195310678</c:v>
                </c:pt>
                <c:pt idx="55">
                  <c:v>12.5193196198475</c:v>
                </c:pt>
                <c:pt idx="56">
                  <c:v>-28.0550401415195</c:v>
                </c:pt>
                <c:pt idx="57">
                  <c:v>-35.0168098257922</c:v>
                </c:pt>
                <c:pt idx="58">
                  <c:v>-5.21106223797011</c:v>
                </c:pt>
                <c:pt idx="59">
                  <c:v>-36.3875596349038</c:v>
                </c:pt>
                <c:pt idx="60">
                  <c:v>3.22116503594527</c:v>
                </c:pt>
                <c:pt idx="61">
                  <c:v>6.73619075984019</c:v>
                </c:pt>
                <c:pt idx="62">
                  <c:v>-13.2834733004858</c:v>
                </c:pt>
                <c:pt idx="63">
                  <c:v>-13.5027020518658</c:v>
                </c:pt>
                <c:pt idx="64">
                  <c:v>-1.25020236034174</c:v>
                </c:pt>
                <c:pt idx="65">
                  <c:v>-0.215887330303058</c:v>
                </c:pt>
                <c:pt idx="66">
                  <c:v>38.2705887824766</c:v>
                </c:pt>
                <c:pt idx="67">
                  <c:v>37.7176656863535</c:v>
                </c:pt>
                <c:pt idx="68">
                  <c:v>-3.67737708334597</c:v>
                </c:pt>
                <c:pt idx="69">
                  <c:v>12.3891816722996</c:v>
                </c:pt>
                <c:pt idx="70">
                  <c:v>-4.99777822505767</c:v>
                </c:pt>
                <c:pt idx="71">
                  <c:v>-9.70251636241457</c:v>
                </c:pt>
                <c:pt idx="72">
                  <c:v>43.3079473804731</c:v>
                </c:pt>
                <c:pt idx="73">
                  <c:v>-7.21587106445023</c:v>
                </c:pt>
                <c:pt idx="74">
                  <c:v>21.5557058646219</c:v>
                </c:pt>
                <c:pt idx="75">
                  <c:v>38.9980338719821</c:v>
                </c:pt>
                <c:pt idx="76">
                  <c:v>19.0939075439147</c:v>
                </c:pt>
                <c:pt idx="77">
                  <c:v>36.7432552818428</c:v>
                </c:pt>
                <c:pt idx="78">
                  <c:v>36.7358634870115</c:v>
                </c:pt>
                <c:pt idx="79">
                  <c:v>36.7406513673475</c:v>
                </c:pt>
                <c:pt idx="80">
                  <c:v>28.2085265621292</c:v>
                </c:pt>
                <c:pt idx="81">
                  <c:v>32.9406008831054</c:v>
                </c:pt>
                <c:pt idx="82">
                  <c:v>26.0548097998664</c:v>
                </c:pt>
                <c:pt idx="83">
                  <c:v>34.7289602079243</c:v>
                </c:pt>
                <c:pt idx="84">
                  <c:v>32.6560075471334</c:v>
                </c:pt>
                <c:pt idx="85">
                  <c:v>26.966579282524</c:v>
                </c:pt>
                <c:pt idx="86">
                  <c:v>10.3676137227461</c:v>
                </c:pt>
                <c:pt idx="87">
                  <c:v>34.0563078859284</c:v>
                </c:pt>
                <c:pt idx="88">
                  <c:v>36.9204854776463</c:v>
                </c:pt>
                <c:pt idx="89">
                  <c:v>18.7060133803614</c:v>
                </c:pt>
                <c:pt idx="90">
                  <c:v>31.5589393698608</c:v>
                </c:pt>
                <c:pt idx="91">
                  <c:v>31.8059430487253</c:v>
                </c:pt>
                <c:pt idx="92">
                  <c:v>38.6363376158643</c:v>
                </c:pt>
                <c:pt idx="93">
                  <c:v>14.407023527672</c:v>
                </c:pt>
                <c:pt idx="94">
                  <c:v>-34.6732291860735</c:v>
                </c:pt>
                <c:pt idx="95">
                  <c:v>36.911283967338</c:v>
                </c:pt>
                <c:pt idx="96">
                  <c:v>-18.7533438130475</c:v>
                </c:pt>
                <c:pt idx="97">
                  <c:v>14.1593164901356</c:v>
                </c:pt>
                <c:pt idx="98">
                  <c:v>-10.2045142422089</c:v>
                </c:pt>
                <c:pt idx="99">
                  <c:v>24.7224368583202</c:v>
                </c:pt>
                <c:pt idx="100">
                  <c:v>-34.0417511204201</c:v>
                </c:pt>
                <c:pt idx="101">
                  <c:v>42.3214824447754</c:v>
                </c:pt>
                <c:pt idx="102">
                  <c:v>25.7640016447962</c:v>
                </c:pt>
                <c:pt idx="103">
                  <c:v>-17.2427547087263</c:v>
                </c:pt>
                <c:pt idx="104">
                  <c:v>13.3643583547053</c:v>
                </c:pt>
                <c:pt idx="105">
                  <c:v>-27.6456792594366</c:v>
                </c:pt>
                <c:pt idx="106">
                  <c:v>-8.46635648613058</c:v>
                </c:pt>
                <c:pt idx="107">
                  <c:v>13.0358481427233</c:v>
                </c:pt>
                <c:pt idx="108">
                  <c:v>-34.0141824712763</c:v>
                </c:pt>
                <c:pt idx="109">
                  <c:v>-27.6475154518351</c:v>
                </c:pt>
                <c:pt idx="110">
                  <c:v>37.1497710042752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46520912"/>
        <c:axId val="-684482128"/>
      </c:scatterChart>
      <c:valAx>
        <c:axId val="-44652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684482128"/>
        <c:crosses val="autoZero"/>
        <c:crossBetween val="midCat"/>
      </c:valAx>
      <c:valAx>
        <c:axId val="-6844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446520912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ec4cc9-6b47-4d16-ae01-99cca3e038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228600</xdr:colOff>
      <xdr:row>16</xdr:row>
      <xdr:rowOff>112395</xdr:rowOff>
    </xdr:from>
    <xdr:to>
      <xdr:col>15</xdr:col>
      <xdr:colOff>890905</xdr:colOff>
      <xdr:row>45</xdr:row>
      <xdr:rowOff>22225</xdr:rowOff>
    </xdr:to>
    <xdr:graphicFrame>
      <xdr:nvGraphicFramePr>
        <xdr:cNvPr id="2" name="Chart 1"/>
        <xdr:cNvGraphicFramePr/>
      </xdr:nvGraphicFramePr>
      <xdr:xfrm>
        <a:off x="4137660" y="3038475"/>
        <a:ext cx="7687945" cy="521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14286</xdr:colOff>
      <xdr:row>0</xdr:row>
      <xdr:rowOff>19050</xdr:rowOff>
    </xdr:from>
    <xdr:to>
      <xdr:col>12</xdr:col>
      <xdr:colOff>609599</xdr:colOff>
      <xdr:row>23</xdr:row>
      <xdr:rowOff>152400</xdr:rowOff>
    </xdr:to>
    <xdr:graphicFrame>
      <xdr:nvGraphicFramePr>
        <xdr:cNvPr id="2" name="Chart 1"/>
        <xdr:cNvGraphicFramePr/>
      </xdr:nvGraphicFramePr>
      <xdr:xfrm>
        <a:off x="4334510" y="19050"/>
        <a:ext cx="3681095" cy="4339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228601</xdr:colOff>
      <xdr:row>0</xdr:row>
      <xdr:rowOff>80961</xdr:rowOff>
    </xdr:from>
    <xdr:to>
      <xdr:col>17</xdr:col>
      <xdr:colOff>485775</xdr:colOff>
      <xdr:row>29</xdr:row>
      <xdr:rowOff>161925</xdr:rowOff>
    </xdr:to>
    <xdr:graphicFrame>
      <xdr:nvGraphicFramePr>
        <xdr:cNvPr id="2" name="Chart 1"/>
        <xdr:cNvGraphicFramePr/>
      </xdr:nvGraphicFramePr>
      <xdr:xfrm>
        <a:off x="6590030" y="80645"/>
        <a:ext cx="4577715" cy="538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2"/>
  <sheetViews>
    <sheetView workbookViewId="0">
      <selection activeCell="H2" sqref="H2"/>
    </sheetView>
  </sheetViews>
  <sheetFormatPr defaultColWidth="9" defaultRowHeight="14.4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1710</v>
      </c>
      <c r="B2">
        <v>895</v>
      </c>
      <c r="C2">
        <v>438</v>
      </c>
      <c r="D2">
        <v>993</v>
      </c>
      <c r="E2">
        <v>535</v>
      </c>
      <c r="F2">
        <v>913</v>
      </c>
      <c r="G2">
        <v>483</v>
      </c>
      <c r="H2">
        <v>917</v>
      </c>
      <c r="I2">
        <v>487</v>
      </c>
    </row>
    <row r="3" spans="1:9">
      <c r="A3">
        <v>1730</v>
      </c>
      <c r="B3">
        <v>892</v>
      </c>
      <c r="C3">
        <v>440</v>
      </c>
      <c r="D3">
        <v>988</v>
      </c>
      <c r="E3">
        <v>536</v>
      </c>
      <c r="F3">
        <v>911</v>
      </c>
      <c r="G3">
        <v>486</v>
      </c>
      <c r="H3">
        <v>915</v>
      </c>
      <c r="I3">
        <v>490</v>
      </c>
    </row>
    <row r="4" spans="1:9">
      <c r="A4">
        <v>1750</v>
      </c>
      <c r="B4">
        <v>888</v>
      </c>
      <c r="C4">
        <v>442</v>
      </c>
      <c r="D4">
        <v>985</v>
      </c>
      <c r="E4">
        <v>538</v>
      </c>
      <c r="F4">
        <v>908</v>
      </c>
      <c r="G4">
        <v>492</v>
      </c>
      <c r="H4">
        <v>912</v>
      </c>
      <c r="I4">
        <v>496</v>
      </c>
    </row>
    <row r="5" spans="1:9">
      <c r="A5">
        <v>1770</v>
      </c>
      <c r="B5">
        <v>884</v>
      </c>
      <c r="C5">
        <v>443</v>
      </c>
      <c r="D5">
        <v>981</v>
      </c>
      <c r="E5">
        <v>541</v>
      </c>
      <c r="F5">
        <v>904</v>
      </c>
      <c r="G5">
        <v>502</v>
      </c>
      <c r="H5">
        <v>908</v>
      </c>
      <c r="I5">
        <v>506</v>
      </c>
    </row>
    <row r="6" spans="1:9">
      <c r="A6">
        <v>1790</v>
      </c>
      <c r="B6">
        <v>880</v>
      </c>
      <c r="C6">
        <v>446</v>
      </c>
      <c r="D6">
        <v>978</v>
      </c>
      <c r="E6">
        <v>543</v>
      </c>
      <c r="F6">
        <v>902</v>
      </c>
      <c r="G6">
        <v>506</v>
      </c>
      <c r="H6">
        <v>906</v>
      </c>
      <c r="I6">
        <v>510</v>
      </c>
    </row>
    <row r="7" spans="1:9">
      <c r="A7">
        <v>1810</v>
      </c>
      <c r="B7">
        <v>876</v>
      </c>
      <c r="C7">
        <v>447</v>
      </c>
      <c r="D7">
        <v>974</v>
      </c>
      <c r="E7">
        <v>545</v>
      </c>
      <c r="F7">
        <v>900</v>
      </c>
      <c r="G7">
        <v>511</v>
      </c>
      <c r="H7">
        <v>904</v>
      </c>
      <c r="I7">
        <v>515</v>
      </c>
    </row>
    <row r="8" spans="1:9">
      <c r="A8">
        <v>1830</v>
      </c>
      <c r="B8">
        <v>873</v>
      </c>
      <c r="C8">
        <v>449</v>
      </c>
      <c r="D8">
        <v>970</v>
      </c>
      <c r="E8">
        <v>546</v>
      </c>
      <c r="F8">
        <v>898</v>
      </c>
      <c r="G8">
        <v>516</v>
      </c>
      <c r="H8">
        <v>902</v>
      </c>
      <c r="I8">
        <v>520</v>
      </c>
    </row>
    <row r="9" spans="1:9">
      <c r="A9">
        <v>1850</v>
      </c>
      <c r="B9">
        <v>869</v>
      </c>
      <c r="C9">
        <v>451</v>
      </c>
      <c r="D9">
        <v>966</v>
      </c>
      <c r="E9">
        <v>548</v>
      </c>
      <c r="F9">
        <v>897</v>
      </c>
      <c r="G9">
        <v>521</v>
      </c>
      <c r="H9">
        <v>901</v>
      </c>
      <c r="I9">
        <v>525</v>
      </c>
    </row>
    <row r="10" spans="1:9">
      <c r="A10">
        <v>1870</v>
      </c>
      <c r="B10">
        <v>865</v>
      </c>
      <c r="C10">
        <v>453</v>
      </c>
      <c r="D10">
        <v>962</v>
      </c>
      <c r="E10">
        <v>550</v>
      </c>
      <c r="F10">
        <v>896</v>
      </c>
      <c r="G10">
        <v>526</v>
      </c>
      <c r="H10">
        <v>900</v>
      </c>
      <c r="I10">
        <v>530</v>
      </c>
    </row>
    <row r="11" spans="1:9">
      <c r="A11">
        <v>1890</v>
      </c>
      <c r="B11">
        <v>862</v>
      </c>
      <c r="C11">
        <v>455</v>
      </c>
      <c r="D11">
        <v>959</v>
      </c>
      <c r="E11">
        <v>552</v>
      </c>
      <c r="F11">
        <v>895</v>
      </c>
      <c r="G11">
        <v>529</v>
      </c>
      <c r="H11">
        <v>899</v>
      </c>
      <c r="I11">
        <v>533</v>
      </c>
    </row>
    <row r="12" spans="1:9">
      <c r="A12">
        <v>1910</v>
      </c>
      <c r="B12">
        <v>858</v>
      </c>
      <c r="C12">
        <v>457</v>
      </c>
      <c r="D12">
        <v>955</v>
      </c>
      <c r="E12">
        <v>555</v>
      </c>
      <c r="F12">
        <v>893</v>
      </c>
      <c r="G12">
        <v>533</v>
      </c>
      <c r="H12">
        <v>897</v>
      </c>
      <c r="I12">
        <v>537</v>
      </c>
    </row>
    <row r="13" spans="1:9">
      <c r="A13">
        <v>1930</v>
      </c>
      <c r="B13">
        <v>854</v>
      </c>
      <c r="C13">
        <v>460</v>
      </c>
      <c r="D13">
        <v>952</v>
      </c>
      <c r="E13">
        <v>558</v>
      </c>
      <c r="F13">
        <v>892</v>
      </c>
      <c r="G13">
        <v>535</v>
      </c>
      <c r="H13">
        <v>896</v>
      </c>
      <c r="I13">
        <v>539</v>
      </c>
    </row>
    <row r="14" spans="1:9">
      <c r="A14">
        <v>1950</v>
      </c>
      <c r="B14">
        <v>851</v>
      </c>
      <c r="C14">
        <v>462</v>
      </c>
      <c r="D14">
        <v>948</v>
      </c>
      <c r="E14">
        <v>558</v>
      </c>
      <c r="F14">
        <v>891</v>
      </c>
      <c r="G14">
        <v>540</v>
      </c>
      <c r="H14">
        <v>895</v>
      </c>
      <c r="I14">
        <v>544</v>
      </c>
    </row>
    <row r="15" spans="1:9">
      <c r="A15">
        <v>1970</v>
      </c>
      <c r="B15">
        <v>847</v>
      </c>
      <c r="C15">
        <v>464</v>
      </c>
      <c r="D15">
        <v>944</v>
      </c>
      <c r="E15">
        <v>560</v>
      </c>
      <c r="F15">
        <v>891</v>
      </c>
      <c r="G15">
        <v>541</v>
      </c>
      <c r="H15">
        <v>895</v>
      </c>
      <c r="I15">
        <v>545</v>
      </c>
    </row>
    <row r="16" spans="1:9">
      <c r="A16">
        <v>1990</v>
      </c>
      <c r="B16">
        <v>844</v>
      </c>
      <c r="C16">
        <v>466</v>
      </c>
      <c r="D16">
        <v>940</v>
      </c>
      <c r="E16">
        <v>562</v>
      </c>
      <c r="F16">
        <v>890</v>
      </c>
      <c r="G16">
        <v>544</v>
      </c>
      <c r="H16">
        <v>894</v>
      </c>
      <c r="I16">
        <v>548</v>
      </c>
    </row>
    <row r="17" spans="1:9">
      <c r="A17">
        <v>2010</v>
      </c>
      <c r="B17">
        <v>839</v>
      </c>
      <c r="C17">
        <v>468</v>
      </c>
      <c r="D17">
        <v>936</v>
      </c>
      <c r="E17">
        <v>565</v>
      </c>
      <c r="F17">
        <v>890</v>
      </c>
      <c r="G17">
        <v>547</v>
      </c>
      <c r="H17">
        <v>894</v>
      </c>
      <c r="I17">
        <v>551</v>
      </c>
    </row>
    <row r="18" spans="1:9">
      <c r="A18">
        <v>2030</v>
      </c>
      <c r="B18">
        <v>836</v>
      </c>
      <c r="C18">
        <v>470</v>
      </c>
      <c r="D18">
        <v>932</v>
      </c>
      <c r="E18">
        <v>567</v>
      </c>
      <c r="F18">
        <v>890</v>
      </c>
      <c r="G18">
        <v>549</v>
      </c>
      <c r="H18">
        <v>894</v>
      </c>
      <c r="I18">
        <v>553</v>
      </c>
    </row>
    <row r="19" spans="1:9">
      <c r="A19">
        <v>2050</v>
      </c>
      <c r="B19">
        <v>832</v>
      </c>
      <c r="C19">
        <v>473</v>
      </c>
      <c r="D19">
        <v>929</v>
      </c>
      <c r="E19">
        <v>570</v>
      </c>
      <c r="F19">
        <v>889</v>
      </c>
      <c r="G19">
        <v>551</v>
      </c>
      <c r="H19">
        <v>893</v>
      </c>
      <c r="I19">
        <v>555</v>
      </c>
    </row>
    <row r="20" spans="1:9">
      <c r="A20">
        <v>2070</v>
      </c>
      <c r="B20">
        <v>829</v>
      </c>
      <c r="C20">
        <v>475</v>
      </c>
      <c r="D20">
        <v>925</v>
      </c>
      <c r="E20">
        <v>571</v>
      </c>
      <c r="F20">
        <v>891</v>
      </c>
      <c r="G20">
        <v>554</v>
      </c>
      <c r="H20">
        <v>895</v>
      </c>
      <c r="I20">
        <v>558</v>
      </c>
    </row>
    <row r="21" spans="1:9">
      <c r="A21">
        <v>2090</v>
      </c>
      <c r="B21">
        <v>825</v>
      </c>
      <c r="C21">
        <v>477</v>
      </c>
      <c r="D21">
        <v>922</v>
      </c>
      <c r="E21">
        <v>574</v>
      </c>
      <c r="F21">
        <v>891</v>
      </c>
      <c r="G21">
        <v>554</v>
      </c>
      <c r="H21">
        <v>895</v>
      </c>
      <c r="I21">
        <v>558</v>
      </c>
    </row>
    <row r="22" spans="1:9">
      <c r="A22">
        <v>2110</v>
      </c>
      <c r="B22">
        <v>821</v>
      </c>
      <c r="C22">
        <v>480</v>
      </c>
      <c r="D22">
        <v>918</v>
      </c>
      <c r="E22">
        <v>576</v>
      </c>
      <c r="F22">
        <v>890</v>
      </c>
      <c r="G22">
        <v>555</v>
      </c>
      <c r="H22">
        <v>894</v>
      </c>
      <c r="I22">
        <v>559</v>
      </c>
    </row>
    <row r="23" spans="1:9">
      <c r="A23">
        <v>2130</v>
      </c>
      <c r="B23">
        <v>817</v>
      </c>
      <c r="C23">
        <v>482</v>
      </c>
      <c r="D23">
        <v>914</v>
      </c>
      <c r="E23">
        <v>579</v>
      </c>
      <c r="F23">
        <v>890</v>
      </c>
      <c r="G23">
        <v>555</v>
      </c>
      <c r="H23">
        <v>894</v>
      </c>
      <c r="I23">
        <v>559</v>
      </c>
    </row>
    <row r="24" spans="1:9">
      <c r="A24">
        <v>2150</v>
      </c>
      <c r="B24">
        <v>814</v>
      </c>
      <c r="C24">
        <v>484</v>
      </c>
      <c r="D24">
        <v>909</v>
      </c>
      <c r="E24">
        <v>580</v>
      </c>
      <c r="F24">
        <v>889</v>
      </c>
      <c r="G24">
        <v>556</v>
      </c>
      <c r="H24">
        <v>893</v>
      </c>
      <c r="I24">
        <v>560</v>
      </c>
    </row>
    <row r="25" spans="1:9">
      <c r="A25">
        <v>2170</v>
      </c>
      <c r="B25">
        <v>810</v>
      </c>
      <c r="C25">
        <v>487</v>
      </c>
      <c r="D25">
        <v>906</v>
      </c>
      <c r="E25">
        <v>582</v>
      </c>
      <c r="F25">
        <v>888</v>
      </c>
      <c r="G25">
        <v>556</v>
      </c>
      <c r="H25">
        <v>892</v>
      </c>
      <c r="I25">
        <v>560</v>
      </c>
    </row>
    <row r="26" spans="1:9">
      <c r="A26">
        <v>2190</v>
      </c>
      <c r="B26">
        <v>807</v>
      </c>
      <c r="C26">
        <v>489</v>
      </c>
      <c r="D26">
        <v>902</v>
      </c>
      <c r="E26">
        <v>584</v>
      </c>
      <c r="F26">
        <v>887</v>
      </c>
      <c r="G26">
        <v>556</v>
      </c>
      <c r="H26">
        <v>891</v>
      </c>
      <c r="I26">
        <v>560</v>
      </c>
    </row>
    <row r="27" spans="1:9">
      <c r="A27">
        <v>2210</v>
      </c>
      <c r="B27">
        <v>803</v>
      </c>
      <c r="C27">
        <v>491</v>
      </c>
      <c r="D27">
        <v>898</v>
      </c>
      <c r="E27">
        <v>586</v>
      </c>
      <c r="F27">
        <v>885</v>
      </c>
      <c r="G27">
        <v>556</v>
      </c>
      <c r="H27">
        <v>889</v>
      </c>
      <c r="I27">
        <v>560</v>
      </c>
    </row>
    <row r="28" spans="1:9">
      <c r="A28">
        <v>2230</v>
      </c>
      <c r="B28">
        <v>800</v>
      </c>
      <c r="C28">
        <v>494</v>
      </c>
      <c r="D28">
        <v>894</v>
      </c>
      <c r="E28">
        <v>588</v>
      </c>
      <c r="F28">
        <v>881</v>
      </c>
      <c r="G28">
        <v>557</v>
      </c>
      <c r="H28">
        <v>885</v>
      </c>
      <c r="I28">
        <v>561</v>
      </c>
    </row>
    <row r="29" spans="1:9">
      <c r="A29">
        <v>2250</v>
      </c>
      <c r="B29">
        <v>795</v>
      </c>
      <c r="C29">
        <v>497</v>
      </c>
      <c r="D29">
        <v>891</v>
      </c>
      <c r="E29">
        <v>592</v>
      </c>
      <c r="F29">
        <v>879</v>
      </c>
      <c r="G29">
        <v>557</v>
      </c>
      <c r="H29">
        <v>883</v>
      </c>
      <c r="I29">
        <v>561</v>
      </c>
    </row>
    <row r="30" spans="1:9">
      <c r="A30">
        <v>2270</v>
      </c>
      <c r="B30">
        <v>792</v>
      </c>
      <c r="C30">
        <v>499</v>
      </c>
      <c r="D30">
        <v>886</v>
      </c>
      <c r="E30">
        <v>593</v>
      </c>
      <c r="F30">
        <v>876</v>
      </c>
      <c r="G30">
        <v>554</v>
      </c>
      <c r="H30">
        <v>880</v>
      </c>
      <c r="I30">
        <v>558</v>
      </c>
    </row>
    <row r="31" spans="1:9">
      <c r="A31">
        <v>2290</v>
      </c>
      <c r="B31">
        <v>788</v>
      </c>
      <c r="C31">
        <v>502</v>
      </c>
      <c r="D31">
        <v>883</v>
      </c>
      <c r="E31">
        <v>597</v>
      </c>
      <c r="F31">
        <v>874</v>
      </c>
      <c r="G31">
        <v>555</v>
      </c>
      <c r="H31">
        <v>878</v>
      </c>
      <c r="I31">
        <v>559</v>
      </c>
    </row>
    <row r="32" spans="1:9">
      <c r="A32">
        <v>2310</v>
      </c>
      <c r="B32">
        <v>785</v>
      </c>
      <c r="C32">
        <v>504</v>
      </c>
      <c r="D32">
        <v>879</v>
      </c>
      <c r="E32">
        <v>598</v>
      </c>
      <c r="F32">
        <v>871</v>
      </c>
      <c r="G32">
        <v>554</v>
      </c>
      <c r="H32">
        <v>875</v>
      </c>
      <c r="I32">
        <v>558</v>
      </c>
    </row>
    <row r="33" spans="1:9">
      <c r="A33">
        <v>2330</v>
      </c>
      <c r="B33">
        <v>781</v>
      </c>
      <c r="C33">
        <v>507</v>
      </c>
      <c r="D33">
        <v>876</v>
      </c>
      <c r="E33">
        <v>601</v>
      </c>
      <c r="F33">
        <v>869</v>
      </c>
      <c r="G33">
        <v>553</v>
      </c>
      <c r="H33">
        <v>873</v>
      </c>
      <c r="I33">
        <v>557</v>
      </c>
    </row>
    <row r="34" spans="1:9">
      <c r="A34">
        <v>2350</v>
      </c>
      <c r="B34">
        <v>777</v>
      </c>
      <c r="C34">
        <v>510</v>
      </c>
      <c r="D34">
        <v>872</v>
      </c>
      <c r="E34">
        <v>604</v>
      </c>
      <c r="F34">
        <v>864</v>
      </c>
      <c r="G34">
        <v>552</v>
      </c>
      <c r="H34">
        <v>868</v>
      </c>
      <c r="I34">
        <v>556</v>
      </c>
    </row>
    <row r="35" spans="1:9">
      <c r="A35">
        <v>2370</v>
      </c>
      <c r="B35">
        <v>773</v>
      </c>
      <c r="C35">
        <v>512</v>
      </c>
      <c r="D35">
        <v>869</v>
      </c>
      <c r="E35">
        <v>608</v>
      </c>
      <c r="F35">
        <v>859</v>
      </c>
      <c r="G35">
        <v>550</v>
      </c>
      <c r="H35">
        <v>863</v>
      </c>
      <c r="I35">
        <v>554</v>
      </c>
    </row>
    <row r="36" spans="1:9">
      <c r="A36">
        <v>2390</v>
      </c>
      <c r="B36">
        <v>770</v>
      </c>
      <c r="C36">
        <v>515</v>
      </c>
      <c r="D36">
        <v>864</v>
      </c>
      <c r="E36">
        <v>609</v>
      </c>
      <c r="F36">
        <v>856</v>
      </c>
      <c r="G36">
        <v>552</v>
      </c>
      <c r="H36">
        <v>860</v>
      </c>
      <c r="I36">
        <v>556</v>
      </c>
    </row>
    <row r="37" spans="1:9">
      <c r="A37">
        <v>2410</v>
      </c>
      <c r="B37">
        <v>766</v>
      </c>
      <c r="C37">
        <v>518</v>
      </c>
      <c r="D37">
        <v>861</v>
      </c>
      <c r="E37">
        <v>612</v>
      </c>
      <c r="F37">
        <v>852</v>
      </c>
      <c r="G37">
        <v>551</v>
      </c>
      <c r="H37">
        <v>856</v>
      </c>
      <c r="I37">
        <v>555</v>
      </c>
    </row>
    <row r="38" spans="1:9">
      <c r="A38">
        <v>2430</v>
      </c>
      <c r="B38">
        <v>762</v>
      </c>
      <c r="C38">
        <v>521</v>
      </c>
      <c r="D38">
        <v>857</v>
      </c>
      <c r="E38">
        <v>615</v>
      </c>
      <c r="F38">
        <v>848</v>
      </c>
      <c r="G38">
        <v>551</v>
      </c>
      <c r="H38">
        <v>852</v>
      </c>
      <c r="I38">
        <v>555</v>
      </c>
    </row>
    <row r="39" spans="1:9">
      <c r="A39">
        <v>2450</v>
      </c>
      <c r="B39">
        <v>758</v>
      </c>
      <c r="C39">
        <v>523</v>
      </c>
      <c r="D39">
        <v>853</v>
      </c>
      <c r="E39">
        <v>618</v>
      </c>
      <c r="F39">
        <v>842</v>
      </c>
      <c r="G39">
        <v>550</v>
      </c>
      <c r="H39">
        <v>846</v>
      </c>
      <c r="I39">
        <v>554</v>
      </c>
    </row>
    <row r="40" spans="1:9">
      <c r="A40">
        <v>2470</v>
      </c>
      <c r="B40">
        <v>755</v>
      </c>
      <c r="C40">
        <v>526</v>
      </c>
      <c r="D40">
        <v>849</v>
      </c>
      <c r="E40">
        <v>620</v>
      </c>
      <c r="F40">
        <v>838</v>
      </c>
      <c r="G40">
        <v>550</v>
      </c>
      <c r="H40">
        <v>842</v>
      </c>
      <c r="I40">
        <v>554</v>
      </c>
    </row>
    <row r="41" spans="1:9">
      <c r="A41">
        <v>2490</v>
      </c>
      <c r="B41">
        <v>751</v>
      </c>
      <c r="C41">
        <v>529</v>
      </c>
      <c r="D41">
        <v>845</v>
      </c>
      <c r="E41">
        <v>623</v>
      </c>
      <c r="F41">
        <v>831</v>
      </c>
      <c r="G41">
        <v>550</v>
      </c>
      <c r="H41">
        <v>835</v>
      </c>
      <c r="I41">
        <v>554</v>
      </c>
    </row>
    <row r="42" spans="1:9">
      <c r="A42">
        <v>2510</v>
      </c>
      <c r="B42">
        <v>747</v>
      </c>
      <c r="C42">
        <v>531</v>
      </c>
      <c r="D42">
        <v>842</v>
      </c>
      <c r="E42">
        <v>626</v>
      </c>
      <c r="F42">
        <v>827</v>
      </c>
      <c r="G42">
        <v>553</v>
      </c>
      <c r="H42">
        <v>831</v>
      </c>
      <c r="I42">
        <v>557</v>
      </c>
    </row>
    <row r="43" spans="1:9">
      <c r="A43">
        <v>2530</v>
      </c>
      <c r="B43">
        <v>744</v>
      </c>
      <c r="C43">
        <v>534</v>
      </c>
      <c r="D43">
        <v>838</v>
      </c>
      <c r="E43">
        <v>629</v>
      </c>
      <c r="F43">
        <v>819</v>
      </c>
      <c r="G43">
        <v>550</v>
      </c>
      <c r="H43">
        <v>823</v>
      </c>
      <c r="I43">
        <v>554</v>
      </c>
    </row>
    <row r="44" spans="1:9">
      <c r="A44">
        <v>2550</v>
      </c>
      <c r="B44">
        <v>740</v>
      </c>
      <c r="C44">
        <v>537</v>
      </c>
      <c r="D44">
        <v>835</v>
      </c>
      <c r="E44">
        <v>631</v>
      </c>
      <c r="F44">
        <v>815</v>
      </c>
      <c r="G44">
        <v>552</v>
      </c>
      <c r="H44">
        <v>819</v>
      </c>
      <c r="I44">
        <v>556</v>
      </c>
    </row>
    <row r="45" spans="1:9">
      <c r="A45">
        <v>2570</v>
      </c>
      <c r="B45">
        <v>736</v>
      </c>
      <c r="C45">
        <v>540</v>
      </c>
      <c r="D45">
        <v>831</v>
      </c>
      <c r="E45">
        <v>635</v>
      </c>
      <c r="F45">
        <v>800</v>
      </c>
      <c r="G45">
        <v>555</v>
      </c>
      <c r="H45">
        <v>804</v>
      </c>
      <c r="I45">
        <v>559</v>
      </c>
    </row>
    <row r="46" spans="1:9">
      <c r="A46">
        <v>2590</v>
      </c>
      <c r="B46">
        <v>732</v>
      </c>
      <c r="C46">
        <v>543</v>
      </c>
      <c r="D46">
        <v>828</v>
      </c>
      <c r="E46">
        <v>639</v>
      </c>
      <c r="F46">
        <v>799</v>
      </c>
      <c r="G46">
        <v>551</v>
      </c>
      <c r="H46">
        <v>803</v>
      </c>
      <c r="I46">
        <v>555</v>
      </c>
    </row>
    <row r="47" spans="1:9">
      <c r="A47">
        <v>2610</v>
      </c>
      <c r="B47">
        <v>729</v>
      </c>
      <c r="C47">
        <v>546</v>
      </c>
      <c r="D47">
        <v>824</v>
      </c>
      <c r="E47">
        <v>641</v>
      </c>
      <c r="F47">
        <v>795</v>
      </c>
      <c r="G47">
        <v>554</v>
      </c>
      <c r="H47">
        <v>799</v>
      </c>
      <c r="I47">
        <v>558</v>
      </c>
    </row>
    <row r="48" spans="1:9">
      <c r="A48">
        <v>2630</v>
      </c>
      <c r="B48">
        <v>725</v>
      </c>
      <c r="C48">
        <v>549</v>
      </c>
      <c r="D48">
        <v>820</v>
      </c>
      <c r="E48">
        <v>643</v>
      </c>
      <c r="F48">
        <v>788</v>
      </c>
      <c r="G48">
        <v>556</v>
      </c>
      <c r="H48">
        <v>792</v>
      </c>
      <c r="I48">
        <v>560</v>
      </c>
    </row>
    <row r="49" spans="1:9">
      <c r="A49">
        <v>2650</v>
      </c>
      <c r="B49">
        <v>721</v>
      </c>
      <c r="C49">
        <v>552</v>
      </c>
      <c r="D49">
        <v>816</v>
      </c>
      <c r="E49">
        <v>647</v>
      </c>
      <c r="F49">
        <v>782</v>
      </c>
      <c r="G49">
        <v>557</v>
      </c>
      <c r="H49">
        <v>786</v>
      </c>
      <c r="I49">
        <v>561</v>
      </c>
    </row>
    <row r="50" spans="1:9">
      <c r="A50">
        <v>2670</v>
      </c>
      <c r="B50">
        <v>718</v>
      </c>
      <c r="C50">
        <v>555</v>
      </c>
      <c r="D50">
        <v>813</v>
      </c>
      <c r="E50">
        <v>650</v>
      </c>
      <c r="F50">
        <v>775</v>
      </c>
      <c r="G50">
        <v>560</v>
      </c>
      <c r="H50">
        <v>779</v>
      </c>
      <c r="I50">
        <v>564</v>
      </c>
    </row>
    <row r="51" spans="1:9">
      <c r="A51">
        <v>2690</v>
      </c>
      <c r="B51">
        <v>714</v>
      </c>
      <c r="C51">
        <v>558</v>
      </c>
      <c r="D51">
        <v>809</v>
      </c>
      <c r="E51">
        <v>653</v>
      </c>
      <c r="F51">
        <v>768</v>
      </c>
      <c r="G51">
        <v>563</v>
      </c>
      <c r="H51">
        <v>772</v>
      </c>
      <c r="I51">
        <v>567</v>
      </c>
    </row>
    <row r="52" spans="1:9">
      <c r="A52">
        <v>2710</v>
      </c>
      <c r="B52">
        <v>710</v>
      </c>
      <c r="C52">
        <v>560</v>
      </c>
      <c r="D52">
        <v>806</v>
      </c>
      <c r="E52">
        <v>656</v>
      </c>
      <c r="F52">
        <v>761</v>
      </c>
      <c r="G52">
        <v>566</v>
      </c>
      <c r="H52">
        <v>765</v>
      </c>
      <c r="I52">
        <v>570</v>
      </c>
    </row>
    <row r="53" spans="1:9">
      <c r="A53">
        <v>2730</v>
      </c>
      <c r="B53">
        <v>707</v>
      </c>
      <c r="C53">
        <v>563</v>
      </c>
      <c r="D53">
        <v>802</v>
      </c>
      <c r="E53">
        <v>659</v>
      </c>
      <c r="F53">
        <v>754</v>
      </c>
      <c r="G53">
        <v>569</v>
      </c>
      <c r="H53">
        <v>758</v>
      </c>
      <c r="I53">
        <v>573</v>
      </c>
    </row>
    <row r="54" spans="1:9">
      <c r="A54">
        <v>2750</v>
      </c>
      <c r="B54">
        <v>703</v>
      </c>
      <c r="C54">
        <v>567</v>
      </c>
      <c r="D54">
        <v>799</v>
      </c>
      <c r="E54">
        <v>662</v>
      </c>
      <c r="F54">
        <v>746</v>
      </c>
      <c r="G54">
        <v>572</v>
      </c>
      <c r="H54">
        <v>750</v>
      </c>
      <c r="I54">
        <v>576</v>
      </c>
    </row>
    <row r="55" spans="1:9">
      <c r="A55">
        <v>2770</v>
      </c>
      <c r="B55">
        <v>699</v>
      </c>
      <c r="C55">
        <v>569</v>
      </c>
      <c r="D55">
        <v>795</v>
      </c>
      <c r="E55">
        <v>665</v>
      </c>
      <c r="F55">
        <v>742</v>
      </c>
      <c r="G55">
        <v>576</v>
      </c>
      <c r="H55">
        <v>746</v>
      </c>
      <c r="I55">
        <v>580</v>
      </c>
    </row>
    <row r="56" spans="1:9">
      <c r="A56">
        <v>2790</v>
      </c>
      <c r="B56">
        <v>696</v>
      </c>
      <c r="C56">
        <v>573</v>
      </c>
      <c r="D56">
        <v>791</v>
      </c>
      <c r="E56">
        <v>668</v>
      </c>
      <c r="F56">
        <v>735</v>
      </c>
      <c r="G56">
        <v>581</v>
      </c>
      <c r="H56">
        <v>739</v>
      </c>
      <c r="I56">
        <v>585</v>
      </c>
    </row>
    <row r="57" spans="1:9">
      <c r="A57">
        <v>2810</v>
      </c>
      <c r="B57">
        <v>692</v>
      </c>
      <c r="C57">
        <v>576</v>
      </c>
      <c r="D57">
        <v>787</v>
      </c>
      <c r="E57">
        <v>671</v>
      </c>
      <c r="F57">
        <v>730</v>
      </c>
      <c r="G57">
        <v>585</v>
      </c>
      <c r="H57">
        <v>734</v>
      </c>
      <c r="I57">
        <v>589</v>
      </c>
    </row>
    <row r="58" spans="1:9">
      <c r="A58">
        <v>2830</v>
      </c>
      <c r="B58">
        <v>688</v>
      </c>
      <c r="C58">
        <v>579</v>
      </c>
      <c r="D58">
        <v>784</v>
      </c>
      <c r="E58">
        <v>674</v>
      </c>
      <c r="F58">
        <v>728</v>
      </c>
      <c r="G58">
        <v>592</v>
      </c>
      <c r="H58">
        <v>732</v>
      </c>
      <c r="I58">
        <v>596</v>
      </c>
    </row>
    <row r="59" spans="1:9">
      <c r="A59">
        <v>2850</v>
      </c>
      <c r="B59">
        <v>685</v>
      </c>
      <c r="C59">
        <v>582</v>
      </c>
      <c r="D59">
        <v>781</v>
      </c>
      <c r="E59">
        <v>678</v>
      </c>
      <c r="F59">
        <v>724</v>
      </c>
      <c r="G59">
        <v>596</v>
      </c>
      <c r="H59">
        <v>728</v>
      </c>
      <c r="I59">
        <v>600</v>
      </c>
    </row>
    <row r="60" spans="1:9">
      <c r="A60">
        <v>2870</v>
      </c>
      <c r="B60">
        <v>681</v>
      </c>
      <c r="C60">
        <v>585</v>
      </c>
      <c r="D60">
        <v>777</v>
      </c>
      <c r="E60">
        <v>681</v>
      </c>
      <c r="F60">
        <v>705</v>
      </c>
      <c r="G60">
        <v>601</v>
      </c>
      <c r="H60">
        <v>709</v>
      </c>
      <c r="I60">
        <v>605</v>
      </c>
    </row>
    <row r="61" spans="1:9">
      <c r="A61">
        <v>2890</v>
      </c>
      <c r="B61">
        <v>677</v>
      </c>
      <c r="C61">
        <v>588</v>
      </c>
      <c r="D61">
        <v>774</v>
      </c>
      <c r="E61">
        <v>685</v>
      </c>
      <c r="F61">
        <v>700</v>
      </c>
      <c r="G61">
        <v>607</v>
      </c>
      <c r="H61">
        <v>704</v>
      </c>
      <c r="I61">
        <v>611</v>
      </c>
    </row>
    <row r="62" spans="1:9">
      <c r="A62">
        <v>2910</v>
      </c>
      <c r="B62">
        <v>674</v>
      </c>
      <c r="C62">
        <v>592</v>
      </c>
      <c r="D62">
        <v>770</v>
      </c>
      <c r="E62">
        <v>688</v>
      </c>
      <c r="F62">
        <v>695</v>
      </c>
      <c r="G62">
        <v>611</v>
      </c>
      <c r="H62">
        <v>699</v>
      </c>
      <c r="I62">
        <v>615</v>
      </c>
    </row>
    <row r="63" spans="1:9">
      <c r="A63">
        <v>2930</v>
      </c>
      <c r="B63">
        <v>670</v>
      </c>
      <c r="C63">
        <v>595</v>
      </c>
      <c r="D63">
        <v>766</v>
      </c>
      <c r="E63">
        <v>691</v>
      </c>
      <c r="F63">
        <v>690</v>
      </c>
      <c r="G63">
        <v>617</v>
      </c>
      <c r="H63">
        <v>694</v>
      </c>
      <c r="I63">
        <v>621</v>
      </c>
    </row>
    <row r="64" spans="1:9">
      <c r="A64">
        <v>2950</v>
      </c>
      <c r="B64">
        <v>666</v>
      </c>
      <c r="C64">
        <v>598</v>
      </c>
      <c r="D64">
        <v>763</v>
      </c>
      <c r="E64">
        <v>695</v>
      </c>
      <c r="F64">
        <v>686</v>
      </c>
      <c r="G64">
        <v>623</v>
      </c>
      <c r="H64">
        <v>690</v>
      </c>
      <c r="I64">
        <v>627</v>
      </c>
    </row>
    <row r="65" spans="1:9">
      <c r="A65">
        <v>2970</v>
      </c>
      <c r="B65">
        <v>663</v>
      </c>
      <c r="C65">
        <v>601</v>
      </c>
      <c r="D65">
        <v>759</v>
      </c>
      <c r="E65">
        <v>697</v>
      </c>
      <c r="F65">
        <v>680</v>
      </c>
      <c r="G65">
        <v>630</v>
      </c>
      <c r="H65">
        <v>684</v>
      </c>
      <c r="I65">
        <v>634</v>
      </c>
    </row>
    <row r="66" spans="1:9">
      <c r="A66">
        <v>2990</v>
      </c>
      <c r="B66">
        <v>659</v>
      </c>
      <c r="C66">
        <v>604</v>
      </c>
      <c r="D66">
        <v>756</v>
      </c>
      <c r="E66">
        <v>702</v>
      </c>
      <c r="F66">
        <v>676</v>
      </c>
      <c r="G66">
        <v>635</v>
      </c>
      <c r="H66">
        <v>680</v>
      </c>
      <c r="I66">
        <v>639</v>
      </c>
    </row>
    <row r="67" spans="1:9">
      <c r="A67">
        <v>3010</v>
      </c>
      <c r="B67">
        <v>655</v>
      </c>
      <c r="C67">
        <v>607</v>
      </c>
      <c r="D67">
        <v>752</v>
      </c>
      <c r="E67">
        <v>704</v>
      </c>
      <c r="F67">
        <v>671</v>
      </c>
      <c r="G67">
        <v>642</v>
      </c>
      <c r="H67">
        <v>675</v>
      </c>
      <c r="I67">
        <v>646</v>
      </c>
    </row>
    <row r="68" spans="1:9">
      <c r="A68">
        <v>3030</v>
      </c>
      <c r="B68">
        <v>653</v>
      </c>
      <c r="C68">
        <v>610</v>
      </c>
      <c r="D68">
        <v>749</v>
      </c>
      <c r="E68">
        <v>706</v>
      </c>
      <c r="F68">
        <v>668</v>
      </c>
      <c r="G68">
        <v>648</v>
      </c>
      <c r="H68">
        <v>672</v>
      </c>
      <c r="I68">
        <v>652</v>
      </c>
    </row>
    <row r="69" spans="1:9">
      <c r="A69">
        <v>3050</v>
      </c>
      <c r="B69">
        <v>649</v>
      </c>
      <c r="C69">
        <v>614</v>
      </c>
      <c r="D69">
        <v>745</v>
      </c>
      <c r="E69">
        <v>710</v>
      </c>
      <c r="F69">
        <v>666</v>
      </c>
      <c r="G69">
        <v>654</v>
      </c>
      <c r="H69">
        <v>670</v>
      </c>
      <c r="I69">
        <v>658</v>
      </c>
    </row>
    <row r="70" spans="1:9">
      <c r="A70">
        <v>3070</v>
      </c>
      <c r="B70">
        <v>645</v>
      </c>
      <c r="C70">
        <v>617</v>
      </c>
      <c r="D70">
        <v>741</v>
      </c>
      <c r="E70">
        <v>713</v>
      </c>
      <c r="F70">
        <v>663</v>
      </c>
      <c r="G70">
        <v>658</v>
      </c>
      <c r="H70">
        <v>667</v>
      </c>
      <c r="I70">
        <v>662</v>
      </c>
    </row>
    <row r="71" spans="1:9">
      <c r="A71">
        <v>3090</v>
      </c>
      <c r="B71">
        <v>642</v>
      </c>
      <c r="C71">
        <v>621</v>
      </c>
      <c r="D71">
        <v>737</v>
      </c>
      <c r="E71">
        <v>716</v>
      </c>
      <c r="F71">
        <v>659</v>
      </c>
      <c r="G71">
        <v>667</v>
      </c>
      <c r="H71">
        <v>663</v>
      </c>
      <c r="I71">
        <v>671</v>
      </c>
    </row>
    <row r="72" spans="1:9">
      <c r="A72">
        <v>3110</v>
      </c>
      <c r="B72">
        <v>638</v>
      </c>
      <c r="C72">
        <v>624</v>
      </c>
      <c r="D72">
        <v>733</v>
      </c>
      <c r="E72">
        <v>719</v>
      </c>
      <c r="F72">
        <v>656</v>
      </c>
      <c r="G72">
        <v>674</v>
      </c>
      <c r="H72">
        <v>660</v>
      </c>
      <c r="I72">
        <v>678</v>
      </c>
    </row>
    <row r="73" spans="1:9">
      <c r="A73">
        <v>3130</v>
      </c>
      <c r="B73">
        <v>634</v>
      </c>
      <c r="C73">
        <v>628</v>
      </c>
      <c r="D73">
        <v>729</v>
      </c>
      <c r="E73">
        <v>723</v>
      </c>
      <c r="F73">
        <v>652</v>
      </c>
      <c r="G73">
        <v>683</v>
      </c>
      <c r="H73">
        <v>656</v>
      </c>
      <c r="I73">
        <v>687</v>
      </c>
    </row>
    <row r="74" spans="1:9">
      <c r="A74">
        <v>3150</v>
      </c>
      <c r="B74">
        <v>631</v>
      </c>
      <c r="C74">
        <v>631</v>
      </c>
      <c r="D74">
        <v>726</v>
      </c>
      <c r="E74">
        <v>726</v>
      </c>
      <c r="F74">
        <v>649</v>
      </c>
      <c r="G74">
        <v>694</v>
      </c>
      <c r="H74">
        <v>653</v>
      </c>
      <c r="I74">
        <v>698</v>
      </c>
    </row>
    <row r="75" spans="1:9">
      <c r="A75">
        <v>3170</v>
      </c>
      <c r="B75">
        <v>627</v>
      </c>
      <c r="C75">
        <v>635</v>
      </c>
      <c r="D75">
        <v>722</v>
      </c>
      <c r="E75">
        <v>729</v>
      </c>
      <c r="F75">
        <v>647</v>
      </c>
      <c r="G75">
        <v>697</v>
      </c>
      <c r="H75">
        <v>651</v>
      </c>
      <c r="I75">
        <v>701</v>
      </c>
    </row>
    <row r="76" spans="1:9">
      <c r="A76">
        <v>3190</v>
      </c>
      <c r="B76">
        <v>623</v>
      </c>
      <c r="C76">
        <v>638</v>
      </c>
      <c r="D76">
        <v>718</v>
      </c>
      <c r="E76">
        <v>733</v>
      </c>
      <c r="F76">
        <v>644</v>
      </c>
      <c r="G76">
        <v>708</v>
      </c>
      <c r="H76">
        <v>648</v>
      </c>
      <c r="I76">
        <v>712</v>
      </c>
    </row>
    <row r="77" spans="1:9">
      <c r="A77">
        <v>3210</v>
      </c>
      <c r="B77">
        <v>620</v>
      </c>
      <c r="C77">
        <v>642</v>
      </c>
      <c r="D77">
        <v>714</v>
      </c>
      <c r="E77">
        <v>736</v>
      </c>
      <c r="F77">
        <v>643</v>
      </c>
      <c r="G77">
        <v>714</v>
      </c>
      <c r="H77">
        <v>647</v>
      </c>
      <c r="I77">
        <v>718</v>
      </c>
    </row>
    <row r="78" spans="1:9">
      <c r="A78">
        <v>3230</v>
      </c>
      <c r="B78">
        <v>617</v>
      </c>
      <c r="C78">
        <v>645</v>
      </c>
      <c r="D78">
        <v>710</v>
      </c>
      <c r="E78">
        <v>739</v>
      </c>
      <c r="F78">
        <v>642</v>
      </c>
      <c r="G78">
        <v>717</v>
      </c>
      <c r="H78">
        <v>646</v>
      </c>
      <c r="I78">
        <v>721</v>
      </c>
    </row>
    <row r="79" spans="1:9">
      <c r="A79">
        <v>3250</v>
      </c>
      <c r="B79">
        <v>612</v>
      </c>
      <c r="C79">
        <v>649</v>
      </c>
      <c r="D79">
        <v>707</v>
      </c>
      <c r="E79">
        <v>743</v>
      </c>
      <c r="F79">
        <v>641</v>
      </c>
      <c r="G79">
        <v>724</v>
      </c>
      <c r="H79">
        <v>645</v>
      </c>
      <c r="I79">
        <v>728</v>
      </c>
    </row>
    <row r="80" spans="1:9">
      <c r="A80">
        <v>3270</v>
      </c>
      <c r="B80">
        <v>610</v>
      </c>
      <c r="C80">
        <v>652</v>
      </c>
      <c r="D80">
        <v>703</v>
      </c>
      <c r="E80">
        <v>746</v>
      </c>
      <c r="F80">
        <v>640</v>
      </c>
      <c r="G80">
        <v>727</v>
      </c>
      <c r="H80">
        <v>644</v>
      </c>
      <c r="I80">
        <v>731</v>
      </c>
    </row>
    <row r="81" spans="1:9">
      <c r="A81">
        <v>3290</v>
      </c>
      <c r="B81">
        <v>606</v>
      </c>
      <c r="C81">
        <v>656</v>
      </c>
      <c r="D81">
        <v>699</v>
      </c>
      <c r="E81">
        <v>750</v>
      </c>
      <c r="F81">
        <v>639</v>
      </c>
      <c r="G81">
        <v>731</v>
      </c>
      <c r="H81">
        <v>643</v>
      </c>
      <c r="I81">
        <v>735</v>
      </c>
    </row>
    <row r="82" spans="1:9">
      <c r="A82">
        <v>3310</v>
      </c>
      <c r="B82">
        <v>602</v>
      </c>
      <c r="C82">
        <v>660</v>
      </c>
      <c r="D82">
        <v>696</v>
      </c>
      <c r="E82">
        <v>754</v>
      </c>
      <c r="F82">
        <v>638</v>
      </c>
      <c r="G82">
        <v>735</v>
      </c>
      <c r="H82">
        <v>642</v>
      </c>
      <c r="I82">
        <v>739</v>
      </c>
    </row>
    <row r="83" spans="1:9">
      <c r="A83">
        <v>3330</v>
      </c>
      <c r="B83">
        <v>598</v>
      </c>
      <c r="C83">
        <v>664</v>
      </c>
      <c r="D83">
        <v>693</v>
      </c>
      <c r="E83">
        <v>758</v>
      </c>
      <c r="F83">
        <v>637</v>
      </c>
      <c r="G83">
        <v>737</v>
      </c>
      <c r="H83">
        <v>641</v>
      </c>
      <c r="I83">
        <v>741</v>
      </c>
    </row>
    <row r="84" spans="1:9">
      <c r="A84">
        <v>3350</v>
      </c>
      <c r="B84">
        <v>595</v>
      </c>
      <c r="C84">
        <v>667</v>
      </c>
      <c r="D84">
        <v>689</v>
      </c>
      <c r="E84">
        <v>762</v>
      </c>
      <c r="F84">
        <v>637</v>
      </c>
      <c r="G84">
        <v>742</v>
      </c>
      <c r="H84">
        <v>641</v>
      </c>
      <c r="I84">
        <v>746</v>
      </c>
    </row>
    <row r="85" spans="1:9">
      <c r="A85">
        <v>3370</v>
      </c>
      <c r="B85">
        <v>591</v>
      </c>
      <c r="C85">
        <v>671</v>
      </c>
      <c r="D85">
        <v>686</v>
      </c>
      <c r="E85">
        <v>765</v>
      </c>
      <c r="F85">
        <v>637</v>
      </c>
      <c r="G85">
        <v>748</v>
      </c>
      <c r="H85">
        <v>641</v>
      </c>
      <c r="I85">
        <v>752</v>
      </c>
    </row>
    <row r="86" spans="1:9">
      <c r="A86">
        <v>3390</v>
      </c>
      <c r="B86">
        <v>587</v>
      </c>
      <c r="C86">
        <v>675</v>
      </c>
      <c r="D86">
        <v>682</v>
      </c>
      <c r="E86">
        <v>770</v>
      </c>
      <c r="F86">
        <v>637</v>
      </c>
      <c r="G86">
        <v>752</v>
      </c>
      <c r="H86">
        <v>641</v>
      </c>
      <c r="I86">
        <v>756</v>
      </c>
    </row>
    <row r="87" spans="1:9">
      <c r="A87">
        <v>3410</v>
      </c>
      <c r="B87">
        <v>584</v>
      </c>
      <c r="C87">
        <v>678</v>
      </c>
      <c r="D87">
        <v>679</v>
      </c>
      <c r="E87">
        <v>773</v>
      </c>
      <c r="F87">
        <v>637</v>
      </c>
      <c r="G87">
        <v>754</v>
      </c>
      <c r="H87">
        <v>641</v>
      </c>
      <c r="I87">
        <v>758</v>
      </c>
    </row>
    <row r="88" spans="1:9">
      <c r="A88">
        <v>3430</v>
      </c>
      <c r="B88">
        <v>580</v>
      </c>
      <c r="C88">
        <v>682</v>
      </c>
      <c r="D88">
        <v>675</v>
      </c>
      <c r="E88">
        <v>777</v>
      </c>
      <c r="F88">
        <v>637</v>
      </c>
      <c r="G88">
        <v>761</v>
      </c>
      <c r="H88">
        <v>641</v>
      </c>
      <c r="I88">
        <v>765</v>
      </c>
    </row>
    <row r="89" spans="1:9">
      <c r="A89">
        <v>3450</v>
      </c>
      <c r="B89">
        <v>576</v>
      </c>
      <c r="C89">
        <v>686</v>
      </c>
      <c r="D89">
        <v>672</v>
      </c>
      <c r="E89">
        <v>782</v>
      </c>
      <c r="F89">
        <v>636</v>
      </c>
      <c r="G89">
        <v>762</v>
      </c>
      <c r="H89">
        <v>640</v>
      </c>
      <c r="I89">
        <v>766</v>
      </c>
    </row>
    <row r="90" spans="1:9">
      <c r="A90">
        <v>3470</v>
      </c>
      <c r="B90">
        <v>573</v>
      </c>
      <c r="C90">
        <v>690</v>
      </c>
      <c r="D90">
        <v>669</v>
      </c>
      <c r="E90">
        <v>786</v>
      </c>
      <c r="F90">
        <v>636</v>
      </c>
      <c r="G90">
        <v>765</v>
      </c>
      <c r="H90">
        <v>640</v>
      </c>
      <c r="I90">
        <v>769</v>
      </c>
    </row>
    <row r="91" spans="1:9">
      <c r="A91">
        <v>3490</v>
      </c>
      <c r="B91">
        <v>569</v>
      </c>
      <c r="C91">
        <v>694</v>
      </c>
      <c r="D91">
        <v>666</v>
      </c>
      <c r="E91">
        <v>791</v>
      </c>
      <c r="F91">
        <v>636</v>
      </c>
      <c r="G91">
        <v>770</v>
      </c>
      <c r="H91">
        <v>640</v>
      </c>
      <c r="I91">
        <v>774</v>
      </c>
    </row>
    <row r="92" spans="1:9">
      <c r="A92">
        <v>3510</v>
      </c>
      <c r="B92">
        <v>566</v>
      </c>
      <c r="C92">
        <v>698</v>
      </c>
      <c r="D92">
        <v>662</v>
      </c>
      <c r="E92">
        <v>794</v>
      </c>
      <c r="F92">
        <v>635</v>
      </c>
      <c r="G92">
        <v>771</v>
      </c>
      <c r="H92">
        <v>639</v>
      </c>
      <c r="I92">
        <v>775</v>
      </c>
    </row>
    <row r="93" spans="1:9">
      <c r="A93">
        <v>3530</v>
      </c>
      <c r="B93">
        <v>562</v>
      </c>
      <c r="C93">
        <v>701</v>
      </c>
      <c r="D93">
        <v>659</v>
      </c>
      <c r="E93">
        <v>798</v>
      </c>
      <c r="F93">
        <v>634</v>
      </c>
      <c r="G93">
        <v>773</v>
      </c>
      <c r="H93">
        <v>638</v>
      </c>
      <c r="I93">
        <v>777</v>
      </c>
    </row>
    <row r="94" spans="1:9">
      <c r="A94">
        <v>3550</v>
      </c>
      <c r="B94">
        <v>558</v>
      </c>
      <c r="C94">
        <v>705</v>
      </c>
      <c r="D94">
        <v>655</v>
      </c>
      <c r="E94">
        <v>802</v>
      </c>
      <c r="F94">
        <v>633</v>
      </c>
      <c r="G94">
        <v>775</v>
      </c>
      <c r="H94">
        <v>637</v>
      </c>
      <c r="I94">
        <v>779</v>
      </c>
    </row>
    <row r="95" spans="1:9">
      <c r="A95">
        <v>3570</v>
      </c>
      <c r="B95">
        <v>555</v>
      </c>
      <c r="C95">
        <v>709</v>
      </c>
      <c r="D95">
        <v>651</v>
      </c>
      <c r="E95">
        <v>805</v>
      </c>
      <c r="F95">
        <v>635</v>
      </c>
      <c r="G95">
        <v>776</v>
      </c>
      <c r="H95">
        <v>639</v>
      </c>
      <c r="I95">
        <v>780</v>
      </c>
    </row>
    <row r="96" spans="1:9">
      <c r="A96">
        <v>3590</v>
      </c>
      <c r="B96">
        <v>552</v>
      </c>
      <c r="C96">
        <v>713</v>
      </c>
      <c r="D96">
        <v>647</v>
      </c>
      <c r="E96">
        <v>808</v>
      </c>
      <c r="F96">
        <v>633</v>
      </c>
      <c r="G96">
        <v>777</v>
      </c>
      <c r="H96">
        <v>637</v>
      </c>
      <c r="I96">
        <v>781</v>
      </c>
    </row>
    <row r="97" spans="1:9">
      <c r="A97">
        <v>3610</v>
      </c>
      <c r="B97">
        <v>549</v>
      </c>
      <c r="C97">
        <v>717</v>
      </c>
      <c r="D97">
        <v>643</v>
      </c>
      <c r="E97">
        <v>810</v>
      </c>
      <c r="F97">
        <v>629</v>
      </c>
      <c r="G97">
        <v>779</v>
      </c>
      <c r="H97">
        <v>633</v>
      </c>
      <c r="I97">
        <v>783</v>
      </c>
    </row>
    <row r="98" spans="1:9">
      <c r="A98">
        <v>3630</v>
      </c>
      <c r="B98">
        <v>545</v>
      </c>
      <c r="C98">
        <v>721</v>
      </c>
      <c r="D98">
        <v>639</v>
      </c>
      <c r="E98">
        <v>815</v>
      </c>
      <c r="F98">
        <v>628</v>
      </c>
      <c r="G98">
        <v>781</v>
      </c>
      <c r="H98">
        <v>632</v>
      </c>
      <c r="I98">
        <v>785</v>
      </c>
    </row>
    <row r="99" spans="1:9">
      <c r="A99">
        <v>3650</v>
      </c>
      <c r="B99">
        <v>542</v>
      </c>
      <c r="C99">
        <v>724</v>
      </c>
      <c r="D99">
        <v>636</v>
      </c>
      <c r="E99">
        <v>818</v>
      </c>
      <c r="F99">
        <v>625</v>
      </c>
      <c r="G99">
        <v>782</v>
      </c>
      <c r="H99">
        <v>629</v>
      </c>
      <c r="I99">
        <v>786</v>
      </c>
    </row>
    <row r="100" spans="1:9">
      <c r="A100">
        <v>3670</v>
      </c>
      <c r="B100">
        <v>538</v>
      </c>
      <c r="C100">
        <v>729</v>
      </c>
      <c r="D100">
        <v>632</v>
      </c>
      <c r="E100">
        <v>822</v>
      </c>
      <c r="F100">
        <v>623</v>
      </c>
      <c r="G100">
        <v>781</v>
      </c>
      <c r="H100">
        <v>627</v>
      </c>
      <c r="I100">
        <v>785</v>
      </c>
    </row>
    <row r="101" spans="1:9">
      <c r="A101">
        <v>3690</v>
      </c>
      <c r="B101">
        <v>535</v>
      </c>
      <c r="C101">
        <v>733</v>
      </c>
      <c r="D101">
        <v>629</v>
      </c>
      <c r="E101">
        <v>826</v>
      </c>
      <c r="F101">
        <v>620</v>
      </c>
      <c r="G101">
        <v>783</v>
      </c>
      <c r="H101">
        <v>624</v>
      </c>
      <c r="I101">
        <v>787</v>
      </c>
    </row>
    <row r="102" spans="1:9">
      <c r="A102">
        <v>3710</v>
      </c>
      <c r="B102">
        <v>532</v>
      </c>
      <c r="C102">
        <v>737</v>
      </c>
      <c r="D102">
        <v>625</v>
      </c>
      <c r="E102">
        <v>830</v>
      </c>
      <c r="F102">
        <v>618</v>
      </c>
      <c r="G102">
        <v>783</v>
      </c>
      <c r="H102">
        <v>622</v>
      </c>
      <c r="I102">
        <v>787</v>
      </c>
    </row>
    <row r="103" spans="1:9">
      <c r="A103">
        <v>3730</v>
      </c>
      <c r="B103">
        <v>528</v>
      </c>
      <c r="C103">
        <v>741</v>
      </c>
      <c r="D103">
        <v>622</v>
      </c>
      <c r="E103">
        <v>835</v>
      </c>
      <c r="F103">
        <v>612</v>
      </c>
      <c r="G103">
        <v>783</v>
      </c>
      <c r="H103">
        <v>616</v>
      </c>
      <c r="I103">
        <v>787</v>
      </c>
    </row>
    <row r="104" spans="1:9">
      <c r="A104">
        <v>3750</v>
      </c>
      <c r="B104">
        <v>524</v>
      </c>
      <c r="C104">
        <v>745</v>
      </c>
      <c r="D104">
        <v>618</v>
      </c>
      <c r="E104">
        <v>839</v>
      </c>
      <c r="F104">
        <v>610</v>
      </c>
      <c r="G104">
        <v>785</v>
      </c>
      <c r="H104">
        <v>614</v>
      </c>
      <c r="I104">
        <v>789</v>
      </c>
    </row>
    <row r="105" spans="1:9">
      <c r="A105">
        <v>3770</v>
      </c>
      <c r="B105">
        <v>521</v>
      </c>
      <c r="C105">
        <v>749</v>
      </c>
      <c r="D105">
        <v>614</v>
      </c>
      <c r="E105">
        <v>842</v>
      </c>
      <c r="F105">
        <v>607</v>
      </c>
      <c r="G105">
        <v>786</v>
      </c>
      <c r="H105">
        <v>611</v>
      </c>
      <c r="I105">
        <v>790</v>
      </c>
    </row>
    <row r="106" spans="1:9">
      <c r="A106">
        <v>3790</v>
      </c>
      <c r="B106">
        <v>517</v>
      </c>
      <c r="C106">
        <v>754</v>
      </c>
      <c r="D106">
        <v>611</v>
      </c>
      <c r="E106">
        <v>847</v>
      </c>
      <c r="F106">
        <v>602</v>
      </c>
      <c r="G106">
        <v>787</v>
      </c>
      <c r="H106">
        <v>606</v>
      </c>
      <c r="I106">
        <v>791</v>
      </c>
    </row>
    <row r="107" spans="1:9">
      <c r="A107">
        <v>3810</v>
      </c>
      <c r="B107">
        <v>514</v>
      </c>
      <c r="C107">
        <v>758</v>
      </c>
      <c r="D107">
        <v>607</v>
      </c>
      <c r="E107">
        <v>852</v>
      </c>
      <c r="F107">
        <v>598</v>
      </c>
      <c r="G107">
        <v>787</v>
      </c>
      <c r="H107">
        <v>602</v>
      </c>
      <c r="I107">
        <v>791</v>
      </c>
    </row>
    <row r="108" spans="1:9">
      <c r="A108">
        <v>3830</v>
      </c>
      <c r="B108">
        <v>510</v>
      </c>
      <c r="C108">
        <v>762</v>
      </c>
      <c r="D108">
        <v>604</v>
      </c>
      <c r="E108">
        <v>856</v>
      </c>
      <c r="F108">
        <v>593</v>
      </c>
      <c r="G108">
        <v>789</v>
      </c>
      <c r="H108">
        <v>597</v>
      </c>
      <c r="I108">
        <v>793</v>
      </c>
    </row>
    <row r="109" spans="1:9">
      <c r="A109">
        <v>3850</v>
      </c>
      <c r="B109">
        <v>507</v>
      </c>
      <c r="C109">
        <v>766</v>
      </c>
      <c r="D109">
        <v>600</v>
      </c>
      <c r="E109">
        <v>860</v>
      </c>
      <c r="F109">
        <v>588</v>
      </c>
      <c r="G109">
        <v>790</v>
      </c>
      <c r="H109">
        <v>592</v>
      </c>
      <c r="I109">
        <v>794</v>
      </c>
    </row>
    <row r="110" spans="1:9">
      <c r="A110">
        <v>3870</v>
      </c>
      <c r="B110">
        <v>503</v>
      </c>
      <c r="C110">
        <v>771</v>
      </c>
      <c r="D110">
        <v>596</v>
      </c>
      <c r="E110">
        <v>864</v>
      </c>
      <c r="F110">
        <v>583</v>
      </c>
      <c r="G110">
        <v>791</v>
      </c>
      <c r="H110">
        <v>587</v>
      </c>
      <c r="I110">
        <v>795</v>
      </c>
    </row>
    <row r="111" spans="1:9">
      <c r="A111">
        <v>3890</v>
      </c>
      <c r="B111">
        <v>499</v>
      </c>
      <c r="C111">
        <v>775</v>
      </c>
      <c r="D111">
        <v>594</v>
      </c>
      <c r="E111">
        <v>869</v>
      </c>
      <c r="F111">
        <v>576</v>
      </c>
      <c r="G111">
        <v>793</v>
      </c>
      <c r="H111">
        <v>580</v>
      </c>
      <c r="I111">
        <v>797</v>
      </c>
    </row>
    <row r="112" spans="1:9">
      <c r="A112">
        <v>3910</v>
      </c>
      <c r="B112">
        <v>496</v>
      </c>
      <c r="C112">
        <v>779</v>
      </c>
      <c r="D112">
        <v>590</v>
      </c>
      <c r="E112">
        <v>874</v>
      </c>
      <c r="F112">
        <v>569</v>
      </c>
      <c r="G112">
        <v>795</v>
      </c>
      <c r="H112">
        <v>573</v>
      </c>
      <c r="I112">
        <v>799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"/>
  <sheetViews>
    <sheetView tabSelected="1" zoomScale="115" zoomScaleNormal="115" topLeftCell="F21" workbookViewId="0">
      <selection activeCell="S22" sqref="S22"/>
    </sheetView>
  </sheetViews>
  <sheetFormatPr defaultColWidth="9" defaultRowHeight="14.4"/>
  <cols>
    <col min="1" max="1" width="5.66666666666667" customWidth="1"/>
    <col min="2" max="3" width="8.66666666666667" customWidth="1"/>
    <col min="4" max="4" width="7.66666666666667" customWidth="1"/>
    <col min="5" max="6" width="8.66666666666667" customWidth="1"/>
    <col min="8" max="11" width="12.8888888888889" customWidth="1"/>
    <col min="12" max="12" width="14.1111111111111"/>
    <col min="13" max="14" width="10.7777777777778" customWidth="1"/>
    <col min="15" max="16" width="15.2222222222222" customWidth="1"/>
  </cols>
  <sheetData>
    <row r="1" spans="1:16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H1" t="s">
        <v>14</v>
      </c>
      <c r="I1" t="s">
        <v>15</v>
      </c>
      <c r="J1" t="s">
        <v>16</v>
      </c>
      <c r="L1" t="s">
        <v>14</v>
      </c>
      <c r="M1" t="s">
        <v>17</v>
      </c>
      <c r="N1" t="s">
        <v>18</v>
      </c>
      <c r="O1" t="s">
        <v>19</v>
      </c>
      <c r="P1" t="s">
        <v>20</v>
      </c>
    </row>
    <row r="2" spans="1:16">
      <c r="A2">
        <v>1710</v>
      </c>
      <c r="B2" s="3">
        <f>(L0!B2+L0!D2)/2</f>
        <v>944</v>
      </c>
      <c r="C2" s="3">
        <f>(L0!C2+L0!E2)/2</f>
        <v>486.5</v>
      </c>
      <c r="D2" s="3">
        <f>(L0!D2-L0!B2+L0!E2-L0!C2)/4</f>
        <v>48.75</v>
      </c>
      <c r="E2" s="3">
        <f>(L0!F2+L0!H2)/2</f>
        <v>915</v>
      </c>
      <c r="F2" s="3">
        <f>(L0!G2+L0!I2)/2</f>
        <v>485</v>
      </c>
      <c r="H2">
        <v>1742.67</v>
      </c>
      <c r="I2">
        <f>$H$2+$H$3*B2+$H$4*B2^2</f>
        <v>486.230226816</v>
      </c>
      <c r="J2">
        <f>$H$7+$H$8*B2+$H$9*B2^2+$H$10*B2^3+$H$11*B2^4+$H$12*B2^5</f>
        <v>486.546724549053</v>
      </c>
      <c r="L2">
        <v>1685.99</v>
      </c>
      <c r="M2" s="4">
        <v>946</v>
      </c>
      <c r="N2" s="4">
        <v>468</v>
      </c>
      <c r="O2">
        <f>$L$2+$L$3*M2+$L$4*M2^2</f>
        <v>462.826733004</v>
      </c>
      <c r="P2">
        <f>$L$7+$L$8*M2+$L$9*M2^2+$L$10*M2^3+$L$11*M2^4+$L$12*M2^5</f>
        <v>467.973264910281</v>
      </c>
    </row>
    <row r="3" spans="1:16">
      <c r="A3">
        <v>1730</v>
      </c>
      <c r="B3" s="3">
        <f>(L0!B3+L0!D3)/2</f>
        <v>940</v>
      </c>
      <c r="C3" s="3">
        <f>(L0!C3+L0!E3)/2</f>
        <v>488</v>
      </c>
      <c r="D3" s="3">
        <f>(L0!D3-L0!B3+L0!E3-L0!C3)/4</f>
        <v>48</v>
      </c>
      <c r="E3" s="3">
        <f>(L0!F3+L0!H3)/2</f>
        <v>913</v>
      </c>
      <c r="F3" s="3">
        <f>(L0!G3+L0!I3)/2</f>
        <v>488</v>
      </c>
      <c r="H3">
        <v>-2.17409</v>
      </c>
      <c r="I3">
        <f t="shared" ref="I3:I34" si="0">$H$2+$H$3*B3+$H$4*B3^2</f>
        <v>488.1959516</v>
      </c>
      <c r="J3">
        <f t="shared" ref="J3:J34" si="1">$H$7+$H$8*B3+$H$9*B3^2+$H$10*B3^3+$H$11*B3^4+$H$12*B3^5</f>
        <v>488.501535968639</v>
      </c>
      <c r="L3">
        <v>-2.05037</v>
      </c>
      <c r="M3" s="4">
        <v>944</v>
      </c>
      <c r="N3" s="4">
        <v>469</v>
      </c>
      <c r="O3">
        <f t="shared" ref="O3:O34" si="2">$L$2+$L$3*M3+$L$4*M3^2</f>
        <v>463.901133184</v>
      </c>
      <c r="P3">
        <f t="shared" ref="P3:P34" si="3">$L$7+$L$8*M3+$L$9*M3^2+$L$10*M3^3+$L$11*M3^4+$L$12*M3^5</f>
        <v>468.994811319761</v>
      </c>
    </row>
    <row r="4" spans="1:16">
      <c r="A4">
        <v>1750</v>
      </c>
      <c r="B4" s="3">
        <f>(L0!B4+L0!D4)/2</f>
        <v>936.5</v>
      </c>
      <c r="C4" s="3">
        <f>(L0!C4+L0!E4)/2</f>
        <v>490</v>
      </c>
      <c r="D4" s="3">
        <f>(L0!D4-L0!B4+L0!E4-L0!C4)/4</f>
        <v>48.25</v>
      </c>
      <c r="E4" s="3">
        <f>(L0!F4+L0!H4)/2</f>
        <v>910</v>
      </c>
      <c r="F4" s="3">
        <f>(L0!G4+L0!I4)/2</f>
        <v>494</v>
      </c>
      <c r="H4">
        <v>0.000893131</v>
      </c>
      <c r="I4">
        <f t="shared" si="0"/>
        <v>489.93940547475</v>
      </c>
      <c r="J4">
        <f t="shared" si="1"/>
        <v>490.231963092242</v>
      </c>
      <c r="L4">
        <v>0.000800619</v>
      </c>
      <c r="M4" s="4">
        <v>941</v>
      </c>
      <c r="N4" s="4">
        <v>471</v>
      </c>
      <c r="O4">
        <f t="shared" si="2"/>
        <v>465.524742739</v>
      </c>
      <c r="P4">
        <f t="shared" si="3"/>
        <v>470.49835893976</v>
      </c>
    </row>
    <row r="5" spans="1:16">
      <c r="A5">
        <v>1770</v>
      </c>
      <c r="B5" s="3">
        <f>(L0!B5+L0!D5)/2</f>
        <v>932.5</v>
      </c>
      <c r="C5" s="3">
        <f>(L0!C5+L0!E5)/2</f>
        <v>492</v>
      </c>
      <c r="D5" s="3">
        <f>(L0!D5-L0!B5+L0!E5-L0!C5)/4</f>
        <v>48.75</v>
      </c>
      <c r="E5" s="3">
        <f>(L0!F5+L0!H5)/2</f>
        <v>906</v>
      </c>
      <c r="F5" s="3">
        <f>(L0!G5+L0!I5)/2</f>
        <v>504</v>
      </c>
      <c r="I5">
        <f t="shared" si="0"/>
        <v>491.95871811875</v>
      </c>
      <c r="J5">
        <f t="shared" si="1"/>
        <v>492.233021619163</v>
      </c>
      <c r="M5" s="4">
        <v>936</v>
      </c>
      <c r="N5" s="4">
        <v>472</v>
      </c>
      <c r="O5">
        <f t="shared" si="2"/>
        <v>468.262783424</v>
      </c>
      <c r="P5">
        <f t="shared" si="3"/>
        <v>472.94021369722</v>
      </c>
    </row>
    <row r="6" spans="1:16">
      <c r="A6">
        <v>1790</v>
      </c>
      <c r="B6" s="3">
        <f>(L0!B6+L0!D6)/2</f>
        <v>929</v>
      </c>
      <c r="C6" s="3">
        <f>(L0!C6+L0!E6)/2</f>
        <v>494.5</v>
      </c>
      <c r="D6" s="3">
        <f>(L0!D6-L0!B6+L0!E6-L0!C6)/4</f>
        <v>48.75</v>
      </c>
      <c r="E6" s="3">
        <f>(L0!F6+L0!H6)/2</f>
        <v>904</v>
      </c>
      <c r="F6" s="3">
        <f>(L0!G6+L0!I6)/2</f>
        <v>508</v>
      </c>
      <c r="H6" t="s">
        <v>21</v>
      </c>
      <c r="I6">
        <f t="shared" si="0"/>
        <v>493.749061371</v>
      </c>
      <c r="J6">
        <f t="shared" si="1"/>
        <v>494.004925591889</v>
      </c>
      <c r="L6" t="s">
        <v>21</v>
      </c>
      <c r="M6" s="4">
        <v>931</v>
      </c>
      <c r="N6" s="4">
        <v>473</v>
      </c>
      <c r="O6">
        <f t="shared" si="2"/>
        <v>471.040855059</v>
      </c>
      <c r="P6">
        <f t="shared" si="3"/>
        <v>475.321443675668</v>
      </c>
    </row>
    <row r="7" spans="1:16">
      <c r="A7">
        <v>1810</v>
      </c>
      <c r="B7" s="3">
        <f>(L0!B7+L0!D7)/2</f>
        <v>925</v>
      </c>
      <c r="C7" s="3">
        <f>(L0!C7+L0!E7)/2</f>
        <v>496</v>
      </c>
      <c r="D7" s="3">
        <f>(L0!D7-L0!B7+L0!E7-L0!C7)/4</f>
        <v>49</v>
      </c>
      <c r="E7" s="3">
        <f>(L0!F7+L0!H7)/2</f>
        <v>902</v>
      </c>
      <c r="F7" s="3">
        <f>(L0!G7+L0!I7)/2</f>
        <v>513</v>
      </c>
      <c r="H7">
        <v>3970.95</v>
      </c>
      <c r="I7">
        <f t="shared" si="0"/>
        <v>495.821961875</v>
      </c>
      <c r="J7">
        <f t="shared" si="1"/>
        <v>496.05447004101</v>
      </c>
      <c r="L7">
        <v>35937.5</v>
      </c>
      <c r="M7" s="4">
        <v>927</v>
      </c>
      <c r="N7" s="4">
        <v>475</v>
      </c>
      <c r="O7">
        <f t="shared" si="2"/>
        <v>473.292134651</v>
      </c>
      <c r="P7">
        <f t="shared" si="3"/>
        <v>477.196880840507</v>
      </c>
    </row>
    <row r="8" spans="1:16">
      <c r="A8">
        <v>1830</v>
      </c>
      <c r="B8" s="3">
        <f>(L0!B8+L0!D8)/2</f>
        <v>921.5</v>
      </c>
      <c r="C8" s="3">
        <f>(L0!C8+L0!E8)/2</f>
        <v>497.5</v>
      </c>
      <c r="D8" s="3">
        <f>(L0!D8-L0!B8+L0!E8-L0!C8)/4</f>
        <v>48.5</v>
      </c>
      <c r="E8" s="3">
        <f>(L0!F8+L0!H8)/2</f>
        <v>900</v>
      </c>
      <c r="F8" s="3">
        <f>(L0!G8+L0!I8)/2</f>
        <v>518</v>
      </c>
      <c r="H8">
        <v>-17.1205</v>
      </c>
      <c r="I8">
        <f t="shared" si="0"/>
        <v>497.65919450475</v>
      </c>
      <c r="J8">
        <f t="shared" si="1"/>
        <v>497.869689356179</v>
      </c>
      <c r="L8">
        <v>-233.676</v>
      </c>
      <c r="M8" s="4">
        <v>922</v>
      </c>
      <c r="N8" s="4">
        <v>477</v>
      </c>
      <c r="O8">
        <f t="shared" si="2"/>
        <v>476.142261996</v>
      </c>
      <c r="P8">
        <f t="shared" si="3"/>
        <v>479.520545093284</v>
      </c>
    </row>
    <row r="9" spans="1:16">
      <c r="A9">
        <v>1850</v>
      </c>
      <c r="B9" s="3">
        <f>(L0!B9+L0!D9)/2</f>
        <v>917.5</v>
      </c>
      <c r="C9" s="3">
        <f>(L0!C9+L0!E9)/2</f>
        <v>499.5</v>
      </c>
      <c r="D9" s="3">
        <f>(L0!D9-L0!B9+L0!E9-L0!C9)/4</f>
        <v>48.5</v>
      </c>
      <c r="E9" s="3">
        <f>(L0!F9+L0!H9)/2</f>
        <v>899</v>
      </c>
      <c r="F9" s="3">
        <f>(L0!G9+L0!I9)/2</f>
        <v>523</v>
      </c>
      <c r="H9">
        <v>0.0405675</v>
      </c>
      <c r="I9">
        <f t="shared" si="0"/>
        <v>499.78568286875</v>
      </c>
      <c r="J9">
        <f t="shared" si="1"/>
        <v>499.969686568047</v>
      </c>
      <c r="L9">
        <v>0.62041</v>
      </c>
      <c r="M9" s="4">
        <v>918</v>
      </c>
      <c r="N9" s="4">
        <v>479</v>
      </c>
      <c r="O9">
        <f t="shared" si="2"/>
        <v>478.451186156</v>
      </c>
      <c r="P9">
        <f t="shared" si="3"/>
        <v>481.374173006712</v>
      </c>
    </row>
    <row r="10" spans="1:16">
      <c r="A10">
        <v>1870</v>
      </c>
      <c r="B10" s="3">
        <f>(L0!B10+L0!D10)/2</f>
        <v>913.5</v>
      </c>
      <c r="C10" s="3">
        <f>(L0!C10+L0!E10)/2</f>
        <v>501.5</v>
      </c>
      <c r="D10" s="3">
        <f>(L0!D10-L0!B10+L0!E10-L0!C10)/4</f>
        <v>48.5</v>
      </c>
      <c r="E10" s="3">
        <f>(L0!F10+L0!H10)/2</f>
        <v>898</v>
      </c>
      <c r="F10" s="3">
        <f>(L0!G10+L0!I10)/2</f>
        <v>528</v>
      </c>
      <c r="H10" s="5">
        <v>-5.21071e-5</v>
      </c>
      <c r="I10">
        <f t="shared" si="0"/>
        <v>501.94075142475</v>
      </c>
      <c r="J10">
        <f t="shared" si="1"/>
        <v>502.097306270865</v>
      </c>
      <c r="L10">
        <v>-0.000819723</v>
      </c>
      <c r="M10" s="4">
        <v>914</v>
      </c>
      <c r="N10" s="4">
        <v>481</v>
      </c>
      <c r="O10">
        <f t="shared" si="2"/>
        <v>480.785730124</v>
      </c>
      <c r="P10">
        <f t="shared" si="3"/>
        <v>483.232304248391</v>
      </c>
    </row>
    <row r="11" spans="1:16">
      <c r="A11">
        <v>1890</v>
      </c>
      <c r="B11" s="3">
        <f>(L0!B11+L0!D11)/2</f>
        <v>910.5</v>
      </c>
      <c r="C11" s="3">
        <f>(L0!C11+L0!E11)/2</f>
        <v>503.5</v>
      </c>
      <c r="D11" s="3">
        <f>(L0!D11-L0!B11+L0!E11-L0!C11)/4</f>
        <v>48.5</v>
      </c>
      <c r="E11" s="3">
        <f>(L0!F11+L0!H11)/2</f>
        <v>897</v>
      </c>
      <c r="F11" s="3">
        <f>(L0!G11+L0!I11)/2</f>
        <v>531</v>
      </c>
      <c r="H11" s="5">
        <v>3.38718e-8</v>
      </c>
      <c r="I11">
        <f t="shared" si="0"/>
        <v>503.57580859275</v>
      </c>
      <c r="J11">
        <f t="shared" si="1"/>
        <v>503.71141915232</v>
      </c>
      <c r="L11" s="5">
        <v>5.36494e-7</v>
      </c>
      <c r="M11" s="4">
        <v>910</v>
      </c>
      <c r="N11" s="4">
        <v>484</v>
      </c>
      <c r="O11">
        <f t="shared" si="2"/>
        <v>483.1458939</v>
      </c>
      <c r="P11">
        <f t="shared" si="3"/>
        <v>485.102783263632</v>
      </c>
    </row>
    <row r="12" spans="1:16">
      <c r="A12">
        <v>1910</v>
      </c>
      <c r="B12" s="3">
        <f>(L0!B12+L0!D12)/2</f>
        <v>906.5</v>
      </c>
      <c r="C12" s="3">
        <f>(L0!C12+L0!E12)/2</f>
        <v>506</v>
      </c>
      <c r="D12" s="3">
        <f>(L0!D12-L0!B12+L0!E12-L0!C12)/4</f>
        <v>48.75</v>
      </c>
      <c r="E12" s="3">
        <f>(L0!F12+L0!H12)/2</f>
        <v>895</v>
      </c>
      <c r="F12" s="3">
        <f>(L0!G12+L0!I12)/2</f>
        <v>535</v>
      </c>
      <c r="H12" s="5">
        <v>-8.7214e-12</v>
      </c>
      <c r="I12">
        <f t="shared" si="0"/>
        <v>505.78089248475</v>
      </c>
      <c r="J12">
        <f t="shared" si="1"/>
        <v>505.888433962472</v>
      </c>
      <c r="L12" s="5">
        <v>-1.39015e-10</v>
      </c>
      <c r="M12" s="4">
        <v>906</v>
      </c>
      <c r="N12" s="4">
        <v>486</v>
      </c>
      <c r="O12">
        <f t="shared" si="2"/>
        <v>485.531677484</v>
      </c>
      <c r="P12">
        <f t="shared" si="3"/>
        <v>486.992847442249</v>
      </c>
    </row>
    <row r="13" spans="1:16">
      <c r="A13">
        <v>1930</v>
      </c>
      <c r="B13" s="3">
        <f>(L0!B13+L0!D13)/2</f>
        <v>903</v>
      </c>
      <c r="C13" s="3">
        <f>(L0!C13+L0!E13)/2</f>
        <v>509</v>
      </c>
      <c r="D13" s="3">
        <f>(L0!D13-L0!B13+L0!E13-L0!C13)/4</f>
        <v>49</v>
      </c>
      <c r="E13" s="3">
        <f>(L0!F13+L0!H13)/2</f>
        <v>894</v>
      </c>
      <c r="F13" s="3">
        <f>(L0!G13+L0!I13)/2</f>
        <v>537</v>
      </c>
      <c r="I13">
        <f t="shared" si="0"/>
        <v>507.733785579</v>
      </c>
      <c r="J13">
        <f t="shared" si="1"/>
        <v>507.816907387624</v>
      </c>
      <c r="M13" s="4">
        <v>902</v>
      </c>
      <c r="N13" s="4">
        <v>488</v>
      </c>
      <c r="O13">
        <f t="shared" si="2"/>
        <v>487.943080876</v>
      </c>
      <c r="P13">
        <f t="shared" si="3"/>
        <v>488.909144201665</v>
      </c>
    </row>
    <row r="14" spans="1:16">
      <c r="A14">
        <v>1950</v>
      </c>
      <c r="B14" s="3">
        <f>(L0!B14+L0!D14)/2</f>
        <v>899.5</v>
      </c>
      <c r="C14" s="3">
        <f>(L0!C14+L0!E14)/2</f>
        <v>510</v>
      </c>
      <c r="D14" s="3">
        <f>(L0!D14-L0!B14+L0!E14-L0!C14)/4</f>
        <v>48.25</v>
      </c>
      <c r="E14" s="3">
        <f>(L0!F14+L0!H14)/2</f>
        <v>893</v>
      </c>
      <c r="F14" s="3">
        <f>(L0!G14+L0!I14)/2</f>
        <v>542</v>
      </c>
      <c r="I14">
        <f t="shared" si="0"/>
        <v>509.70856038275</v>
      </c>
      <c r="J14">
        <f t="shared" si="1"/>
        <v>509.76764161916</v>
      </c>
      <c r="M14" s="4">
        <v>898</v>
      </c>
      <c r="N14" s="4">
        <v>490</v>
      </c>
      <c r="O14">
        <f t="shared" si="2"/>
        <v>490.380104076</v>
      </c>
      <c r="P14">
        <f t="shared" si="3"/>
        <v>490.857748068156</v>
      </c>
    </row>
    <row r="15" spans="1:16">
      <c r="A15">
        <v>1970</v>
      </c>
      <c r="B15" s="3">
        <f>(L0!B15+L0!D15)/2</f>
        <v>895.5</v>
      </c>
      <c r="C15" s="3">
        <f>(L0!C15+L0!E15)/2</f>
        <v>512</v>
      </c>
      <c r="D15" s="3">
        <f>(L0!D15-L0!B15+L0!E15-L0!C15)/4</f>
        <v>48.25</v>
      </c>
      <c r="E15" s="3">
        <f>(L0!F15+L0!H15)/2</f>
        <v>893</v>
      </c>
      <c r="F15" s="3">
        <f>(L0!G15+L0!I15)/2</f>
        <v>543</v>
      </c>
      <c r="I15">
        <f t="shared" si="0"/>
        <v>511.99223980275</v>
      </c>
      <c r="J15">
        <f t="shared" si="1"/>
        <v>512.024586360067</v>
      </c>
      <c r="M15" s="4">
        <v>895</v>
      </c>
      <c r="N15" s="4">
        <v>492</v>
      </c>
      <c r="O15">
        <f t="shared" si="2"/>
        <v>492.224684475</v>
      </c>
      <c r="P15">
        <f t="shared" si="3"/>
        <v>492.343742776109</v>
      </c>
    </row>
    <row r="16" spans="1:16">
      <c r="A16">
        <v>1990</v>
      </c>
      <c r="B16" s="3">
        <f>(L0!B16+L0!D16)/2</f>
        <v>892</v>
      </c>
      <c r="C16" s="3">
        <f>(L0!C16+L0!E16)/2</f>
        <v>514</v>
      </c>
      <c r="D16" s="3">
        <f>(L0!D16-L0!B16+L0!E16-L0!C16)/4</f>
        <v>48</v>
      </c>
      <c r="E16" s="3">
        <f>(L0!F16+L0!H16)/2</f>
        <v>892</v>
      </c>
      <c r="F16" s="3">
        <f>(L0!G16+L0!I16)/2</f>
        <v>546</v>
      </c>
      <c r="I16">
        <f t="shared" si="0"/>
        <v>514.013903984</v>
      </c>
      <c r="J16">
        <f t="shared" si="1"/>
        <v>514.023724603354</v>
      </c>
      <c r="M16" s="4">
        <v>891</v>
      </c>
      <c r="N16" s="4">
        <v>495</v>
      </c>
      <c r="O16">
        <f t="shared" si="2"/>
        <v>494.706542339</v>
      </c>
      <c r="P16">
        <f t="shared" si="3"/>
        <v>494.361838774377</v>
      </c>
    </row>
    <row r="17" spans="1:16">
      <c r="A17">
        <v>2010</v>
      </c>
      <c r="B17" s="3">
        <f>(L0!B17+L0!D17)/2</f>
        <v>887.5</v>
      </c>
      <c r="C17" s="3">
        <f>(L0!C17+L0!E17)/2</f>
        <v>516.5</v>
      </c>
      <c r="D17" s="3">
        <f>(L0!D17-L0!B17+L0!E17-L0!C17)/4</f>
        <v>48.5</v>
      </c>
      <c r="E17" s="3">
        <f>(L0!F17+L0!H17)/2</f>
        <v>892</v>
      </c>
      <c r="F17" s="3">
        <f>(L0!G17+L0!I17)/2</f>
        <v>549</v>
      </c>
      <c r="I17">
        <f t="shared" si="0"/>
        <v>516.64533921875</v>
      </c>
      <c r="J17">
        <f t="shared" si="1"/>
        <v>516.627680057553</v>
      </c>
      <c r="M17" s="4">
        <v>887</v>
      </c>
      <c r="N17" s="4">
        <v>497</v>
      </c>
      <c r="O17">
        <f t="shared" si="2"/>
        <v>497.214020011</v>
      </c>
      <c r="P17">
        <f t="shared" si="3"/>
        <v>496.426132318826</v>
      </c>
    </row>
    <row r="18" spans="1:16">
      <c r="A18">
        <v>2030</v>
      </c>
      <c r="B18" s="3">
        <f>(L0!B18+L0!D18)/2</f>
        <v>884</v>
      </c>
      <c r="C18" s="3">
        <f>(L0!C18+L0!E18)/2</f>
        <v>518.5</v>
      </c>
      <c r="D18" s="3">
        <f>(L0!D18-L0!B18+L0!E18-L0!C18)/4</f>
        <v>48.25</v>
      </c>
      <c r="E18" s="3">
        <f>(L0!F18+L0!H18)/2</f>
        <v>892</v>
      </c>
      <c r="F18" s="3">
        <f>(L0!G18+L0!I18)/2</f>
        <v>551</v>
      </c>
      <c r="I18">
        <f t="shared" si="0"/>
        <v>518.717018736</v>
      </c>
      <c r="J18">
        <f t="shared" si="1"/>
        <v>518.679332741979</v>
      </c>
      <c r="M18" s="4">
        <v>883</v>
      </c>
      <c r="N18" s="4">
        <v>499</v>
      </c>
      <c r="O18">
        <f t="shared" si="2"/>
        <v>499.747117491</v>
      </c>
      <c r="P18">
        <f t="shared" si="3"/>
        <v>498.540701733</v>
      </c>
    </row>
    <row r="19" spans="1:16">
      <c r="A19">
        <v>2050</v>
      </c>
      <c r="B19" s="3">
        <f>(L0!B19+L0!D19)/2</f>
        <v>880.5</v>
      </c>
      <c r="C19" s="3">
        <f>(L0!C19+L0!E19)/2</f>
        <v>521.5</v>
      </c>
      <c r="D19" s="3">
        <f>(L0!D19-L0!B19+L0!E19-L0!C19)/4</f>
        <v>48.5</v>
      </c>
      <c r="E19" s="3">
        <f>(L0!F19+L0!H19)/2</f>
        <v>891</v>
      </c>
      <c r="F19" s="3">
        <f>(L0!G19+L0!I19)/2</f>
        <v>553</v>
      </c>
      <c r="I19">
        <f t="shared" si="0"/>
        <v>520.81057996275</v>
      </c>
      <c r="J19">
        <f t="shared" si="1"/>
        <v>520.75419405066</v>
      </c>
      <c r="M19" s="4">
        <v>879</v>
      </c>
      <c r="N19" s="4">
        <v>501</v>
      </c>
      <c r="O19">
        <f t="shared" si="2"/>
        <v>502.305834779</v>
      </c>
      <c r="P19">
        <f t="shared" si="3"/>
        <v>500.70913359015</v>
      </c>
    </row>
    <row r="20" spans="1:16">
      <c r="A20">
        <v>2070</v>
      </c>
      <c r="B20" s="3">
        <f>(L0!B20+L0!D20)/2</f>
        <v>877</v>
      </c>
      <c r="C20" s="3">
        <f>(L0!C20+L0!E20)/2</f>
        <v>523</v>
      </c>
      <c r="D20" s="3">
        <f>(L0!D20-L0!B20+L0!E20-L0!C20)/4</f>
        <v>48</v>
      </c>
      <c r="E20" s="3">
        <f>(L0!F20+L0!H20)/2</f>
        <v>893</v>
      </c>
      <c r="F20" s="3">
        <f>(L0!G20+L0!I20)/2</f>
        <v>556</v>
      </c>
      <c r="I20">
        <f t="shared" si="0"/>
        <v>522.926022899</v>
      </c>
      <c r="J20">
        <f t="shared" si="1"/>
        <v>522.852381833787</v>
      </c>
      <c r="M20" s="4">
        <v>875</v>
      </c>
      <c r="N20" s="4">
        <v>503</v>
      </c>
      <c r="O20">
        <f t="shared" si="2"/>
        <v>504.890171875</v>
      </c>
      <c r="P20">
        <f t="shared" si="3"/>
        <v>502.934539794922</v>
      </c>
    </row>
    <row r="21" spans="1:16">
      <c r="A21">
        <v>2090</v>
      </c>
      <c r="B21" s="3">
        <f>(L0!B21+L0!D21)/2</f>
        <v>873.5</v>
      </c>
      <c r="C21" s="3">
        <f>(L0!C21+L0!E21)/2</f>
        <v>525.5</v>
      </c>
      <c r="D21" s="3">
        <f>(L0!D21-L0!B21+L0!E21-L0!C21)/4</f>
        <v>48.5</v>
      </c>
      <c r="E21" s="3">
        <f>(L0!F21+L0!H21)/2</f>
        <v>893</v>
      </c>
      <c r="F21" s="3">
        <f>(L0!G21+L0!I21)/2</f>
        <v>556</v>
      </c>
      <c r="I21">
        <f t="shared" si="0"/>
        <v>525.06334754475</v>
      </c>
      <c r="J21">
        <f t="shared" si="1"/>
        <v>524.973997647797</v>
      </c>
      <c r="M21" s="4">
        <v>871</v>
      </c>
      <c r="N21" s="4">
        <v>506</v>
      </c>
      <c r="O21">
        <f t="shared" si="2"/>
        <v>507.500128779</v>
      </c>
      <c r="P21">
        <f t="shared" si="3"/>
        <v>505.219574666087</v>
      </c>
    </row>
    <row r="22" spans="1:16">
      <c r="A22">
        <v>2110</v>
      </c>
      <c r="B22" s="3">
        <f>(L0!B22+L0!D22)/2</f>
        <v>869.5</v>
      </c>
      <c r="C22" s="3">
        <f>(L0!C22+L0!E22)/2</f>
        <v>528</v>
      </c>
      <c r="D22" s="3">
        <f>(L0!D22-L0!B22+L0!E22-L0!C22)/4</f>
        <v>48.25</v>
      </c>
      <c r="E22" s="3">
        <f>(L0!F22+L0!H22)/2</f>
        <v>892</v>
      </c>
      <c r="F22" s="3">
        <f>(L0!G22+L0!I22)/2</f>
        <v>557</v>
      </c>
      <c r="I22">
        <f t="shared" si="0"/>
        <v>527.53279821275</v>
      </c>
      <c r="J22">
        <f t="shared" si="1"/>
        <v>527.427498199508</v>
      </c>
      <c r="M22" s="4">
        <v>867</v>
      </c>
      <c r="N22" s="4">
        <v>508</v>
      </c>
      <c r="O22">
        <f t="shared" si="2"/>
        <v>510.135705491</v>
      </c>
      <c r="P22">
        <f t="shared" si="3"/>
        <v>507.566452018218</v>
      </c>
    </row>
    <row r="23" spans="1:16">
      <c r="A23">
        <v>2130</v>
      </c>
      <c r="B23" s="3">
        <f>(L0!B23+L0!D23)/2</f>
        <v>865.5</v>
      </c>
      <c r="C23" s="3">
        <f>(L0!C23+L0!E23)/2</f>
        <v>530.5</v>
      </c>
      <c r="D23" s="3">
        <f>(L0!D23-L0!B23+L0!E23-L0!C23)/4</f>
        <v>48.5</v>
      </c>
      <c r="E23" s="3">
        <f>(L0!F23+L0!H23)/2</f>
        <v>892</v>
      </c>
      <c r="F23" s="3">
        <f>(L0!G23+L0!I23)/2</f>
        <v>557</v>
      </c>
      <c r="I23">
        <f t="shared" si="0"/>
        <v>530.03082907275</v>
      </c>
      <c r="J23">
        <f t="shared" si="1"/>
        <v>529.91181405831</v>
      </c>
      <c r="M23" s="4">
        <v>863</v>
      </c>
      <c r="N23" s="4">
        <v>510</v>
      </c>
      <c r="O23">
        <f t="shared" si="2"/>
        <v>512.796902011</v>
      </c>
      <c r="P23">
        <f t="shared" si="3"/>
        <v>509.976962243731</v>
      </c>
    </row>
    <row r="24" spans="1:16">
      <c r="A24">
        <v>2150</v>
      </c>
      <c r="B24" s="3">
        <f>(L0!B24+L0!D24)/2</f>
        <v>861.5</v>
      </c>
      <c r="C24" s="3">
        <f>(L0!C24+L0!E24)/2</f>
        <v>532</v>
      </c>
      <c r="D24" s="3">
        <f>(L0!D24-L0!B24+L0!E24-L0!C24)/4</f>
        <v>47.75</v>
      </c>
      <c r="E24" s="3">
        <f>(L0!F24+L0!H24)/2</f>
        <v>891</v>
      </c>
      <c r="F24" s="3">
        <f>(L0!G24+L0!I24)/2</f>
        <v>558</v>
      </c>
      <c r="I24">
        <f t="shared" si="0"/>
        <v>532.55744012475</v>
      </c>
      <c r="J24">
        <f t="shared" si="1"/>
        <v>532.427024229759</v>
      </c>
      <c r="M24" s="4">
        <v>860</v>
      </c>
      <c r="N24" s="4">
        <v>512</v>
      </c>
      <c r="O24">
        <f t="shared" si="2"/>
        <v>514.8096124</v>
      </c>
      <c r="P24">
        <f t="shared" si="3"/>
        <v>511.827451376077</v>
      </c>
    </row>
    <row r="25" spans="1:16">
      <c r="A25">
        <v>2170</v>
      </c>
      <c r="B25" s="3">
        <f>(L0!B25+L0!D25)/2</f>
        <v>858</v>
      </c>
      <c r="C25" s="3">
        <f>(L0!C25+L0!E25)/2</f>
        <v>534.5</v>
      </c>
      <c r="D25" s="3">
        <f>(L0!D25-L0!B25+L0!E25-L0!C25)/4</f>
        <v>47.75</v>
      </c>
      <c r="E25" s="3">
        <f>(L0!F25+L0!H25)/2</f>
        <v>890</v>
      </c>
      <c r="F25" s="3">
        <f>(L0!G25+L0!I25)/2</f>
        <v>558</v>
      </c>
      <c r="I25">
        <f t="shared" si="0"/>
        <v>534.791669484</v>
      </c>
      <c r="J25">
        <f t="shared" si="1"/>
        <v>534.65322010084</v>
      </c>
      <c r="M25" s="4">
        <v>855</v>
      </c>
      <c r="N25" s="4">
        <v>515</v>
      </c>
      <c r="O25">
        <f t="shared" si="2"/>
        <v>518.196154475</v>
      </c>
      <c r="P25">
        <f t="shared" si="3"/>
        <v>514.994028268884</v>
      </c>
    </row>
    <row r="26" spans="1:16">
      <c r="A26">
        <v>2190</v>
      </c>
      <c r="B26" s="3">
        <f>(L0!B26+L0!D26)/2</f>
        <v>854.5</v>
      </c>
      <c r="C26" s="3">
        <f>(L0!C26+L0!E26)/2</f>
        <v>536.5</v>
      </c>
      <c r="D26" s="3">
        <f>(L0!D26-L0!B26+L0!E26-L0!C26)/4</f>
        <v>47.5</v>
      </c>
      <c r="E26" s="3">
        <f>(L0!F26+L0!H26)/2</f>
        <v>889</v>
      </c>
      <c r="F26" s="3">
        <f>(L0!G26+L0!I26)/2</f>
        <v>558</v>
      </c>
      <c r="I26">
        <f t="shared" si="0"/>
        <v>537.04778055275</v>
      </c>
      <c r="J26">
        <f t="shared" si="1"/>
        <v>536.903134749264</v>
      </c>
      <c r="M26" s="4">
        <v>851</v>
      </c>
      <c r="N26" s="4">
        <v>517</v>
      </c>
      <c r="O26">
        <f t="shared" si="2"/>
        <v>520.934210419</v>
      </c>
      <c r="P26">
        <f t="shared" si="3"/>
        <v>517.602201483845</v>
      </c>
    </row>
    <row r="27" spans="1:16">
      <c r="A27">
        <v>2210</v>
      </c>
      <c r="B27" s="3">
        <f>(L0!B27+L0!D27)/2</f>
        <v>850.5</v>
      </c>
      <c r="C27" s="3">
        <f>(L0!C27+L0!E27)/2</f>
        <v>538.5</v>
      </c>
      <c r="D27" s="3">
        <f>(L0!D27-L0!B27+L0!E27-L0!C27)/4</f>
        <v>47.5</v>
      </c>
      <c r="E27" s="3">
        <f>(L0!F27+L0!H27)/2</f>
        <v>887</v>
      </c>
      <c r="F27" s="3">
        <f>(L0!G27+L0!I27)/2</f>
        <v>558</v>
      </c>
      <c r="I27">
        <f t="shared" si="0"/>
        <v>539.65298713275</v>
      </c>
      <c r="J27">
        <f t="shared" si="1"/>
        <v>539.503521358602</v>
      </c>
      <c r="M27" s="4">
        <v>847</v>
      </c>
      <c r="N27" s="4">
        <v>519</v>
      </c>
      <c r="O27">
        <f t="shared" si="2"/>
        <v>523.697886171</v>
      </c>
      <c r="P27">
        <f t="shared" si="3"/>
        <v>520.277276566841</v>
      </c>
    </row>
    <row r="28" spans="1:16">
      <c r="A28">
        <v>2230</v>
      </c>
      <c r="B28" s="3">
        <f>(L0!B28+L0!D28)/2</f>
        <v>847</v>
      </c>
      <c r="C28" s="3">
        <f>(L0!C28+L0!E28)/2</f>
        <v>541</v>
      </c>
      <c r="D28" s="3">
        <f>(L0!D28-L0!B28+L0!E28-L0!C28)/4</f>
        <v>47</v>
      </c>
      <c r="E28" s="3">
        <f>(L0!F28+L0!H28)/2</f>
        <v>883</v>
      </c>
      <c r="F28" s="3">
        <f>(L0!G28+L0!I28)/2</f>
        <v>559</v>
      </c>
      <c r="I28">
        <f t="shared" si="0"/>
        <v>541.955987579</v>
      </c>
      <c r="J28">
        <f t="shared" si="1"/>
        <v>541.804279776959</v>
      </c>
      <c r="M28" s="4">
        <v>843</v>
      </c>
      <c r="N28" s="4">
        <v>522</v>
      </c>
      <c r="O28">
        <f t="shared" si="2"/>
        <v>526.487181731</v>
      </c>
      <c r="P28">
        <f t="shared" si="3"/>
        <v>523.019183033575</v>
      </c>
    </row>
    <row r="29" spans="1:16">
      <c r="A29">
        <v>2250</v>
      </c>
      <c r="B29" s="3">
        <f>(L0!B29+L0!D29)/2</f>
        <v>843</v>
      </c>
      <c r="C29" s="3">
        <f>(L0!C29+L0!E29)/2</f>
        <v>544.5</v>
      </c>
      <c r="D29" s="3">
        <f>(L0!D29-L0!B29+L0!E29-L0!C29)/4</f>
        <v>47.75</v>
      </c>
      <c r="E29" s="3">
        <f>(L0!F29+L0!H29)/2</f>
        <v>881</v>
      </c>
      <c r="F29" s="3">
        <f>(L0!G29+L0!I29)/2</f>
        <v>559</v>
      </c>
      <c r="I29">
        <f t="shared" si="0"/>
        <v>544.614782019</v>
      </c>
      <c r="J29">
        <f t="shared" si="1"/>
        <v>544.462748706009</v>
      </c>
      <c r="M29" s="4">
        <v>838</v>
      </c>
      <c r="N29" s="4">
        <v>525</v>
      </c>
      <c r="O29">
        <f t="shared" si="2"/>
        <v>530.009829036</v>
      </c>
      <c r="P29">
        <f t="shared" si="3"/>
        <v>526.539922281787</v>
      </c>
    </row>
    <row r="30" spans="1:16">
      <c r="A30">
        <v>2270</v>
      </c>
      <c r="B30" s="3">
        <f>(L0!B30+L0!D30)/2</f>
        <v>839</v>
      </c>
      <c r="C30" s="3">
        <f>(L0!C30+L0!E30)/2</f>
        <v>546</v>
      </c>
      <c r="D30" s="3">
        <f>(L0!D30-L0!B30+L0!E30-L0!C30)/4</f>
        <v>47</v>
      </c>
      <c r="E30" s="3">
        <f>(L0!F30+L0!H30)/2</f>
        <v>878</v>
      </c>
      <c r="F30" s="3">
        <f>(L0!G30+L0!I30)/2</f>
        <v>556</v>
      </c>
      <c r="I30">
        <f t="shared" si="0"/>
        <v>547.302156651</v>
      </c>
      <c r="J30">
        <f t="shared" si="1"/>
        <v>547.152144094488</v>
      </c>
      <c r="M30" s="4">
        <v>833</v>
      </c>
      <c r="N30" s="4">
        <v>528</v>
      </c>
      <c r="O30">
        <f t="shared" si="2"/>
        <v>533.572507291</v>
      </c>
      <c r="P30">
        <f t="shared" si="3"/>
        <v>530.163024309695</v>
      </c>
    </row>
    <row r="31" spans="1:16">
      <c r="A31">
        <v>2290</v>
      </c>
      <c r="B31" s="3">
        <f>(L0!B31+L0!D31)/2</f>
        <v>835.5</v>
      </c>
      <c r="C31" s="3">
        <f>(L0!C31+L0!E31)/2</f>
        <v>549.5</v>
      </c>
      <c r="D31" s="3">
        <f>(L0!D31-L0!B31+L0!E31-L0!C31)/4</f>
        <v>47.5</v>
      </c>
      <c r="E31" s="3">
        <f>(L0!F31+L0!H31)/2</f>
        <v>876</v>
      </c>
      <c r="F31" s="3">
        <f>(L0!G31+L0!I31)/2</f>
        <v>557</v>
      </c>
      <c r="I31">
        <f t="shared" si="0"/>
        <v>549.67705414275</v>
      </c>
      <c r="J31">
        <f t="shared" si="1"/>
        <v>549.530688806014</v>
      </c>
      <c r="M31" s="4">
        <v>828</v>
      </c>
      <c r="N31" s="4">
        <v>532</v>
      </c>
      <c r="O31">
        <f t="shared" si="2"/>
        <v>537.175216496</v>
      </c>
      <c r="P31">
        <f t="shared" si="3"/>
        <v>533.886372015062</v>
      </c>
    </row>
    <row r="32" spans="1:16">
      <c r="A32">
        <v>2310</v>
      </c>
      <c r="B32" s="3">
        <f>(L0!B32+L0!D32)/2</f>
        <v>832</v>
      </c>
      <c r="C32" s="3">
        <f>(L0!C32+L0!E32)/2</f>
        <v>551</v>
      </c>
      <c r="D32" s="3">
        <f>(L0!D32-L0!B32+L0!E32-L0!C32)/4</f>
        <v>47</v>
      </c>
      <c r="E32" s="3">
        <f>(L0!F32+L0!H32)/2</f>
        <v>873</v>
      </c>
      <c r="F32" s="3">
        <f>(L0!G32+L0!I32)/2</f>
        <v>556</v>
      </c>
      <c r="I32">
        <f t="shared" si="0"/>
        <v>552.073833344</v>
      </c>
      <c r="J32">
        <f t="shared" si="1"/>
        <v>551.932817265625</v>
      </c>
      <c r="M32" s="4">
        <v>825</v>
      </c>
      <c r="N32" s="4">
        <v>535</v>
      </c>
      <c r="O32">
        <f t="shared" si="2"/>
        <v>539.356056875</v>
      </c>
      <c r="P32">
        <f t="shared" si="3"/>
        <v>536.167377588004</v>
      </c>
    </row>
    <row r="33" spans="1:16">
      <c r="A33">
        <v>2330</v>
      </c>
      <c r="B33" s="3">
        <f>(L0!B33+L0!D33)/2</f>
        <v>828.5</v>
      </c>
      <c r="C33" s="3">
        <f>(L0!C33+L0!E33)/2</f>
        <v>554</v>
      </c>
      <c r="D33" s="3">
        <f>(L0!D33-L0!B33+L0!E33-L0!C33)/4</f>
        <v>47.25</v>
      </c>
      <c r="E33" s="3">
        <f>(L0!F33+L0!H33)/2</f>
        <v>871</v>
      </c>
      <c r="F33" s="3">
        <f>(L0!G33+L0!I33)/2</f>
        <v>555</v>
      </c>
      <c r="I33">
        <f t="shared" si="0"/>
        <v>554.49249425475</v>
      </c>
      <c r="J33">
        <f t="shared" si="1"/>
        <v>554.358470504493</v>
      </c>
      <c r="M33" s="4">
        <v>821</v>
      </c>
      <c r="N33" s="4">
        <v>538</v>
      </c>
      <c r="O33">
        <f t="shared" si="2"/>
        <v>542.286261379</v>
      </c>
      <c r="P33">
        <f t="shared" si="3"/>
        <v>539.262114023302</v>
      </c>
    </row>
    <row r="34" spans="1:16">
      <c r="A34">
        <v>2350</v>
      </c>
      <c r="B34" s="3">
        <f>(L0!B34+L0!D34)/2</f>
        <v>824.5</v>
      </c>
      <c r="C34" s="3">
        <f>(L0!C34+L0!E34)/2</f>
        <v>557</v>
      </c>
      <c r="D34" s="3">
        <f>(L0!D34-L0!B34+L0!E34-L0!C34)/4</f>
        <v>47.25</v>
      </c>
      <c r="E34" s="3">
        <f>(L0!F34+L0!H34)/2</f>
        <v>866</v>
      </c>
      <c r="F34" s="3">
        <f>(L0!G34+L0!I34)/2</f>
        <v>554</v>
      </c>
      <c r="I34">
        <f t="shared" si="0"/>
        <v>557.28347208275</v>
      </c>
      <c r="J34">
        <f t="shared" si="1"/>
        <v>557.159364334348</v>
      </c>
      <c r="M34" s="4">
        <v>817</v>
      </c>
      <c r="N34" s="4">
        <v>541</v>
      </c>
      <c r="O34">
        <f t="shared" si="2"/>
        <v>545.242085691</v>
      </c>
      <c r="P34">
        <f t="shared" si="3"/>
        <v>542.416164410104</v>
      </c>
    </row>
    <row r="35" spans="1:16">
      <c r="A35">
        <v>2370</v>
      </c>
      <c r="B35" s="3">
        <f>(L0!B35+L0!D35)/2</f>
        <v>821</v>
      </c>
      <c r="C35" s="3">
        <f>(L0!C35+L0!E35)/2</f>
        <v>560</v>
      </c>
      <c r="D35" s="3">
        <f>(L0!D35-L0!B35+L0!E35-L0!C35)/4</f>
        <v>48</v>
      </c>
      <c r="E35" s="3">
        <f>(L0!F35+L0!H35)/2</f>
        <v>861</v>
      </c>
      <c r="F35" s="3">
        <f>(L0!G35+L0!I35)/2</f>
        <v>552</v>
      </c>
      <c r="I35">
        <f t="shared" ref="I35:I66" si="4">$H$2+$H$3*B35+$H$4*B35^2</f>
        <v>559.749022371</v>
      </c>
      <c r="J35">
        <f t="shared" ref="J35:J66" si="5">$H$7+$H$8*B35+$H$9*B35^2+$H$10*B35^3+$H$11*B35^4+$H$12*B35^5</f>
        <v>559.635189627782</v>
      </c>
      <c r="M35" s="4">
        <v>813</v>
      </c>
      <c r="N35" s="4">
        <v>544</v>
      </c>
      <c r="O35">
        <f t="shared" ref="O35:O66" si="6">$L$2+$L$3*M35+$L$4*M35^2</f>
        <v>548.223529811</v>
      </c>
      <c r="P35">
        <f t="shared" ref="P35:P66" si="7">$L$7+$L$8*M35+$L$9*M35^2+$L$10*M35^3+$L$11*M35^4+$L$12*M35^5</f>
        <v>545.627467674829</v>
      </c>
    </row>
    <row r="36" spans="1:16">
      <c r="A36">
        <v>2390</v>
      </c>
      <c r="B36" s="3">
        <f>(L0!B36+L0!D36)/2</f>
        <v>817</v>
      </c>
      <c r="C36" s="3">
        <f>(L0!C36+L0!E36)/2</f>
        <v>562</v>
      </c>
      <c r="D36" s="3">
        <f>(L0!D36-L0!B36+L0!E36-L0!C36)/4</f>
        <v>47</v>
      </c>
      <c r="E36" s="3">
        <f>(L0!F36+L0!H36)/2</f>
        <v>858</v>
      </c>
      <c r="F36" s="3">
        <f>(L0!G36+L0!I36)/2</f>
        <v>554</v>
      </c>
      <c r="I36">
        <f t="shared" si="4"/>
        <v>562.593588059</v>
      </c>
      <c r="J36">
        <f t="shared" si="5"/>
        <v>562.493211883366</v>
      </c>
      <c r="M36" s="4">
        <v>810</v>
      </c>
      <c r="N36" s="4">
        <v>546</v>
      </c>
      <c r="O36">
        <f t="shared" si="6"/>
        <v>550.4764259</v>
      </c>
      <c r="P36">
        <f t="shared" si="7"/>
        <v>548.072168238519</v>
      </c>
    </row>
    <row r="37" spans="1:16">
      <c r="A37">
        <v>2410</v>
      </c>
      <c r="B37" s="3">
        <f>(L0!B37+L0!D37)/2</f>
        <v>813.5</v>
      </c>
      <c r="C37" s="3">
        <f>(L0!C37+L0!E37)/2</f>
        <v>565</v>
      </c>
      <c r="D37" s="3">
        <f>(L0!D37-L0!B37+L0!E37-L0!C37)/4</f>
        <v>47.25</v>
      </c>
      <c r="E37" s="3">
        <f>(L0!F37+L0!H37)/2</f>
        <v>854</v>
      </c>
      <c r="F37" s="3">
        <f>(L0!G37+L0!I37)/2</f>
        <v>553</v>
      </c>
      <c r="I37">
        <f t="shared" si="4"/>
        <v>565.10602772475</v>
      </c>
      <c r="J37">
        <f t="shared" si="5"/>
        <v>565.018822491502</v>
      </c>
      <c r="M37" s="4">
        <v>806</v>
      </c>
      <c r="N37" s="4">
        <v>549</v>
      </c>
      <c r="O37">
        <f t="shared" si="6"/>
        <v>553.502704684</v>
      </c>
      <c r="P37">
        <f t="shared" si="7"/>
        <v>551.378134270351</v>
      </c>
    </row>
    <row r="38" spans="1:16">
      <c r="A38">
        <v>2430</v>
      </c>
      <c r="B38" s="3">
        <f>(L0!B38+L0!D38)/2</f>
        <v>809.5</v>
      </c>
      <c r="C38" s="3">
        <f>(L0!C38+L0!E38)/2</f>
        <v>568</v>
      </c>
      <c r="D38" s="3">
        <f>(L0!D38-L0!B38+L0!E38-L0!C38)/4</f>
        <v>47.25</v>
      </c>
      <c r="E38" s="3">
        <f>(L0!F38+L0!H38)/2</f>
        <v>850</v>
      </c>
      <c r="F38" s="3">
        <f>(L0!G38+L0!I38)/2</f>
        <v>553</v>
      </c>
      <c r="I38">
        <f t="shared" si="4"/>
        <v>568.00418127275</v>
      </c>
      <c r="J38">
        <f t="shared" si="5"/>
        <v>567.933492258228</v>
      </c>
      <c r="M38" s="4">
        <v>803</v>
      </c>
      <c r="N38" s="4">
        <v>552</v>
      </c>
      <c r="O38">
        <f t="shared" si="6"/>
        <v>555.789226771</v>
      </c>
      <c r="P38">
        <f t="shared" si="7"/>
        <v>553.890987789993</v>
      </c>
    </row>
    <row r="39" spans="1:16">
      <c r="A39">
        <v>2450</v>
      </c>
      <c r="B39" s="3">
        <f>(L0!B39+L0!D39)/2</f>
        <v>805.5</v>
      </c>
      <c r="C39" s="3">
        <f>(L0!C39+L0!E39)/2</f>
        <v>570.5</v>
      </c>
      <c r="D39" s="3">
        <f>(L0!D39-L0!B39+L0!E39-L0!C39)/4</f>
        <v>47.5</v>
      </c>
      <c r="E39" s="3">
        <f>(L0!F39+L0!H39)/2</f>
        <v>844</v>
      </c>
      <c r="F39" s="3">
        <f>(L0!G39+L0!I39)/2</f>
        <v>552</v>
      </c>
      <c r="I39">
        <f t="shared" si="4"/>
        <v>570.93091501275</v>
      </c>
      <c r="J39">
        <f t="shared" si="5"/>
        <v>570.878153380253</v>
      </c>
      <c r="M39" s="4">
        <v>800</v>
      </c>
      <c r="N39" s="4">
        <v>555</v>
      </c>
      <c r="O39">
        <f t="shared" si="6"/>
        <v>558.09016</v>
      </c>
      <c r="P39">
        <f t="shared" si="7"/>
        <v>556.431200000057</v>
      </c>
    </row>
    <row r="40" spans="1:16">
      <c r="A40">
        <v>2470</v>
      </c>
      <c r="B40" s="3">
        <f>(L0!B40+L0!D40)/2</f>
        <v>802</v>
      </c>
      <c r="C40" s="3">
        <f>(L0!C40+L0!E40)/2</f>
        <v>573</v>
      </c>
      <c r="D40" s="3">
        <f>(L0!D40-L0!B40+L0!E40-L0!C40)/4</f>
        <v>47</v>
      </c>
      <c r="E40" s="3">
        <f>(L0!F40+L0!H40)/2</f>
        <v>840</v>
      </c>
      <c r="F40" s="3">
        <f>(L0!G40+L0!I40)/2</f>
        <v>552</v>
      </c>
      <c r="I40">
        <f t="shared" si="4"/>
        <v>573.515251724</v>
      </c>
      <c r="J40">
        <f t="shared" si="5"/>
        <v>573.479204525103</v>
      </c>
      <c r="M40" s="4">
        <v>796</v>
      </c>
      <c r="N40" s="4">
        <v>558</v>
      </c>
      <c r="O40">
        <f t="shared" si="6"/>
        <v>561.180488304</v>
      </c>
      <c r="P40">
        <f t="shared" si="7"/>
        <v>559.858675338292</v>
      </c>
    </row>
    <row r="41" spans="1:16">
      <c r="A41">
        <v>2490</v>
      </c>
      <c r="B41" s="3">
        <f>(L0!B41+L0!D41)/2</f>
        <v>798</v>
      </c>
      <c r="C41" s="3">
        <f>(L0!C41+L0!E41)/2</f>
        <v>576</v>
      </c>
      <c r="D41" s="3">
        <f>(L0!D41-L0!B41+L0!E41-L0!C41)/4</f>
        <v>47</v>
      </c>
      <c r="E41" s="3">
        <f>(L0!F41+L0!H41)/2</f>
        <v>833</v>
      </c>
      <c r="F41" s="3">
        <f>(L0!G41+L0!I41)/2</f>
        <v>552</v>
      </c>
      <c r="I41">
        <f t="shared" si="4"/>
        <v>576.495573324</v>
      </c>
      <c r="J41">
        <f t="shared" si="5"/>
        <v>576.479648274459</v>
      </c>
      <c r="M41" s="4">
        <v>792</v>
      </c>
      <c r="N41" s="4">
        <v>561</v>
      </c>
      <c r="O41">
        <f t="shared" si="6"/>
        <v>564.296436416</v>
      </c>
      <c r="P41">
        <f t="shared" si="7"/>
        <v>563.329816611389</v>
      </c>
    </row>
    <row r="42" spans="1:16">
      <c r="A42">
        <v>2510</v>
      </c>
      <c r="B42" s="3">
        <f>(L0!B42+L0!D42)/2</f>
        <v>794.5</v>
      </c>
      <c r="C42" s="3">
        <f>(L0!C42+L0!E42)/2</f>
        <v>578.5</v>
      </c>
      <c r="D42" s="3">
        <f>(L0!D42-L0!B42+L0!E42-L0!C42)/4</f>
        <v>47.5</v>
      </c>
      <c r="E42" s="3">
        <f>(L0!F42+L0!H42)/2</f>
        <v>829</v>
      </c>
      <c r="F42" s="3">
        <f>(L0!G42+L0!I42)/2</f>
        <v>555</v>
      </c>
      <c r="I42">
        <f t="shared" si="4"/>
        <v>579.12679941275</v>
      </c>
      <c r="J42">
        <f t="shared" si="5"/>
        <v>579.129239306362</v>
      </c>
      <c r="M42" s="4">
        <v>789</v>
      </c>
      <c r="N42" s="4">
        <v>563</v>
      </c>
      <c r="O42">
        <f t="shared" si="6"/>
        <v>566.650210499</v>
      </c>
      <c r="P42">
        <f t="shared" si="7"/>
        <v>565.960035526921</v>
      </c>
    </row>
    <row r="43" spans="1:16">
      <c r="A43">
        <v>2530</v>
      </c>
      <c r="B43" s="3">
        <f>(L0!B43+L0!D43)/2</f>
        <v>791</v>
      </c>
      <c r="C43" s="3">
        <f>(L0!C43+L0!E43)/2</f>
        <v>581.5</v>
      </c>
      <c r="D43" s="3">
        <f>(L0!D43-L0!B43+L0!E43-L0!C43)/4</f>
        <v>47.25</v>
      </c>
      <c r="E43" s="3">
        <f>(L0!F43+L0!H43)/2</f>
        <v>821</v>
      </c>
      <c r="F43" s="3">
        <f>(L0!G43+L0!I43)/2</f>
        <v>552</v>
      </c>
      <c r="I43">
        <f t="shared" si="4"/>
        <v>581.779907211</v>
      </c>
      <c r="J43">
        <f t="shared" si="5"/>
        <v>581.801290492147</v>
      </c>
      <c r="M43" s="4">
        <v>786</v>
      </c>
      <c r="N43" s="4">
        <v>566</v>
      </c>
      <c r="O43">
        <f t="shared" si="6"/>
        <v>569.018395724</v>
      </c>
      <c r="P43">
        <f t="shared" si="7"/>
        <v>568.611846499007</v>
      </c>
    </row>
    <row r="44" spans="1:16">
      <c r="A44">
        <v>2550</v>
      </c>
      <c r="B44" s="3">
        <f>(L0!B44+L0!D44)/2</f>
        <v>787.5</v>
      </c>
      <c r="C44" s="3">
        <f>(L0!C44+L0!E44)/2</f>
        <v>584</v>
      </c>
      <c r="D44" s="3">
        <f>(L0!D44-L0!B44+L0!E44-L0!C44)/4</f>
        <v>47.25</v>
      </c>
      <c r="E44" s="3">
        <f>(L0!F44+L0!H44)/2</f>
        <v>817</v>
      </c>
      <c r="F44" s="3">
        <f>(L0!G44+L0!I44)/2</f>
        <v>554</v>
      </c>
      <c r="I44">
        <f t="shared" si="4"/>
        <v>584.45489671875</v>
      </c>
      <c r="J44">
        <f t="shared" si="5"/>
        <v>584.495675715273</v>
      </c>
      <c r="M44" s="4">
        <v>783</v>
      </c>
      <c r="N44" s="4">
        <v>569</v>
      </c>
      <c r="O44">
        <f t="shared" si="6"/>
        <v>571.400992091</v>
      </c>
      <c r="P44">
        <f t="shared" si="7"/>
        <v>571.283934126186</v>
      </c>
    </row>
    <row r="45" spans="1:16">
      <c r="A45">
        <v>2570</v>
      </c>
      <c r="B45" s="3">
        <f>(L0!B45+L0!D45)/2</f>
        <v>783.5</v>
      </c>
      <c r="C45" s="3">
        <f>(L0!C45+L0!E45)/2</f>
        <v>587.5</v>
      </c>
      <c r="D45" s="3">
        <f>(L0!D45-L0!B45+L0!E45-L0!C45)/4</f>
        <v>47.5</v>
      </c>
      <c r="E45" s="3">
        <f>(L0!F45+L0!H45)/2</f>
        <v>802</v>
      </c>
      <c r="F45" s="3">
        <f>(L0!G45+L0!I45)/2</f>
        <v>557</v>
      </c>
      <c r="I45">
        <f t="shared" si="4"/>
        <v>587.53882151475</v>
      </c>
      <c r="J45">
        <f t="shared" si="5"/>
        <v>587.602156179579</v>
      </c>
      <c r="M45" s="4">
        <v>782</v>
      </c>
      <c r="N45" s="4">
        <v>572</v>
      </c>
      <c r="O45">
        <f t="shared" si="6"/>
        <v>572.198393356</v>
      </c>
      <c r="P45">
        <f t="shared" si="7"/>
        <v>572.178905740315</v>
      </c>
    </row>
    <row r="46" spans="1:16">
      <c r="A46">
        <v>2590</v>
      </c>
      <c r="B46" s="3">
        <f>(L0!B46+L0!D46)/2</f>
        <v>780</v>
      </c>
      <c r="C46" s="3">
        <f>(L0!C46+L0!E46)/2</f>
        <v>591</v>
      </c>
      <c r="D46" s="3">
        <f>(L0!D46-L0!B46+L0!E46-L0!C46)/4</f>
        <v>48</v>
      </c>
      <c r="E46" s="3">
        <f>(L0!F46+L0!H46)/2</f>
        <v>801</v>
      </c>
      <c r="F46" s="3">
        <f>(L0!G46+L0!I46)/2</f>
        <v>553</v>
      </c>
      <c r="I46">
        <f t="shared" si="4"/>
        <v>590.2607004</v>
      </c>
      <c r="J46">
        <f t="shared" si="5"/>
        <v>590.343965700479</v>
      </c>
      <c r="M46" s="4">
        <v>779</v>
      </c>
      <c r="N46" s="4">
        <v>575</v>
      </c>
      <c r="O46">
        <f t="shared" si="6"/>
        <v>574.600204579</v>
      </c>
      <c r="P46">
        <f t="shared" si="7"/>
        <v>574.875950266309</v>
      </c>
    </row>
    <row r="47" spans="1:16">
      <c r="A47">
        <v>2610</v>
      </c>
      <c r="B47" s="3">
        <f>(L0!B47+L0!D47)/2</f>
        <v>776.5</v>
      </c>
      <c r="C47" s="3">
        <f>(L0!C47+L0!E47)/2</f>
        <v>593.5</v>
      </c>
      <c r="D47" s="3">
        <f>(L0!D47-L0!B47+L0!E47-L0!C47)/4</f>
        <v>47.5</v>
      </c>
      <c r="E47" s="3">
        <f>(L0!F47+L0!H47)/2</f>
        <v>797</v>
      </c>
      <c r="F47" s="3">
        <f>(L0!G47+L0!I47)/2</f>
        <v>556</v>
      </c>
      <c r="I47">
        <f t="shared" si="4"/>
        <v>593.00446099475</v>
      </c>
      <c r="J47">
        <f t="shared" si="5"/>
        <v>593.107700880375</v>
      </c>
      <c r="M47" s="4">
        <v>776</v>
      </c>
      <c r="N47" s="4">
        <v>578</v>
      </c>
      <c r="O47">
        <f t="shared" si="6"/>
        <v>577.016426944</v>
      </c>
      <c r="P47">
        <f t="shared" si="7"/>
        <v>577.590134831735</v>
      </c>
    </row>
    <row r="48" spans="1:16">
      <c r="A48">
        <v>2630</v>
      </c>
      <c r="B48" s="3">
        <f>(L0!B48+L0!D48)/2</f>
        <v>772.5</v>
      </c>
      <c r="C48" s="3">
        <f>(L0!C48+L0!E48)/2</f>
        <v>596</v>
      </c>
      <c r="D48" s="3">
        <f>(L0!D48-L0!B48+L0!E48-L0!C48)/4</f>
        <v>47.25</v>
      </c>
      <c r="E48" s="3">
        <f>(L0!F48+L0!H48)/2</f>
        <v>790</v>
      </c>
      <c r="F48" s="3">
        <f>(L0!G48+L0!I48)/2</f>
        <v>558</v>
      </c>
      <c r="I48">
        <f t="shared" si="4"/>
        <v>596.16698131875</v>
      </c>
      <c r="J48">
        <f t="shared" si="5"/>
        <v>596.292934030847</v>
      </c>
      <c r="M48" s="4">
        <v>773</v>
      </c>
      <c r="N48" s="4">
        <v>581</v>
      </c>
      <c r="O48">
        <f t="shared" si="6"/>
        <v>579.447060451</v>
      </c>
      <c r="P48">
        <f t="shared" si="7"/>
        <v>580.320096069343</v>
      </c>
    </row>
    <row r="49" spans="1:16">
      <c r="A49">
        <v>2650</v>
      </c>
      <c r="B49" s="3">
        <f>(L0!B49+L0!D49)/2</f>
        <v>768.5</v>
      </c>
      <c r="C49" s="3">
        <f>(L0!C49+L0!E49)/2</f>
        <v>599.5</v>
      </c>
      <c r="D49" s="3">
        <f>(L0!D49-L0!B49+L0!E49-L0!C49)/4</f>
        <v>47.5</v>
      </c>
      <c r="E49" s="3">
        <f>(L0!F49+L0!H49)/2</f>
        <v>784</v>
      </c>
      <c r="F49" s="3">
        <f>(L0!G49+L0!I49)/2</f>
        <v>559</v>
      </c>
      <c r="I49">
        <f t="shared" si="4"/>
        <v>599.35808183475</v>
      </c>
      <c r="J49">
        <f t="shared" si="5"/>
        <v>599.506435993398</v>
      </c>
      <c r="M49" s="4">
        <v>768</v>
      </c>
      <c r="N49" s="4">
        <v>584</v>
      </c>
      <c r="O49">
        <f t="shared" si="6"/>
        <v>583.530141056</v>
      </c>
      <c r="P49">
        <f t="shared" si="7"/>
        <v>584.901371708962</v>
      </c>
    </row>
    <row r="50" spans="1:16">
      <c r="A50">
        <v>2670</v>
      </c>
      <c r="B50" s="3">
        <f>(L0!B50+L0!D50)/2</f>
        <v>765.5</v>
      </c>
      <c r="C50" s="3">
        <f>(L0!C50+L0!E50)/2</f>
        <v>602.5</v>
      </c>
      <c r="D50" s="3">
        <f>(L0!D50-L0!B50+L0!E50-L0!C50)/4</f>
        <v>47.5</v>
      </c>
      <c r="E50" s="3">
        <f>(L0!F50+L0!H50)/2</f>
        <v>777</v>
      </c>
      <c r="F50" s="3">
        <f>(L0!G50+L0!I50)/2</f>
        <v>562</v>
      </c>
      <c r="I50">
        <f t="shared" si="4"/>
        <v>601.77016297275</v>
      </c>
      <c r="J50">
        <f t="shared" si="5"/>
        <v>601.934996202353</v>
      </c>
      <c r="M50" s="4">
        <v>764</v>
      </c>
      <c r="N50" s="4">
        <v>587</v>
      </c>
      <c r="O50">
        <f t="shared" si="6"/>
        <v>586.825427824</v>
      </c>
      <c r="P50">
        <f t="shared" si="7"/>
        <v>588.590946358076</v>
      </c>
    </row>
    <row r="51" spans="1:16">
      <c r="A51">
        <v>2690</v>
      </c>
      <c r="B51" s="3">
        <f>(L0!B51+L0!D51)/2</f>
        <v>761.5</v>
      </c>
      <c r="C51" s="3">
        <f>(L0!C51+L0!E51)/2</f>
        <v>605.5</v>
      </c>
      <c r="D51" s="3">
        <f>(L0!D51-L0!B51+L0!E51-L0!C51)/4</f>
        <v>47.5</v>
      </c>
      <c r="E51" s="3">
        <f>(L0!F51+L0!H51)/2</f>
        <v>770</v>
      </c>
      <c r="F51" s="3">
        <f>(L0!G51+L0!I51)/2</f>
        <v>565</v>
      </c>
      <c r="I51">
        <f t="shared" si="4"/>
        <v>605.01127882475</v>
      </c>
      <c r="J51">
        <f t="shared" si="5"/>
        <v>605.197499484284</v>
      </c>
      <c r="M51" s="4">
        <v>761</v>
      </c>
      <c r="N51" s="4">
        <v>590</v>
      </c>
      <c r="O51">
        <f t="shared" si="6"/>
        <v>589.313705899</v>
      </c>
      <c r="P51">
        <f t="shared" si="7"/>
        <v>591.370329276266</v>
      </c>
    </row>
    <row r="52" spans="1:16">
      <c r="A52">
        <v>2710</v>
      </c>
      <c r="B52" s="3">
        <f>(L0!B52+L0!D52)/2</f>
        <v>758</v>
      </c>
      <c r="C52" s="3">
        <f>(L0!C52+L0!E52)/2</f>
        <v>608</v>
      </c>
      <c r="D52" s="3">
        <f>(L0!D52-L0!B52+L0!E52-L0!C52)/4</f>
        <v>48</v>
      </c>
      <c r="E52" s="3">
        <f>(L0!F52+L0!H52)/2</f>
        <v>763</v>
      </c>
      <c r="F52" s="3">
        <f>(L0!G52+L0!I52)/2</f>
        <v>568</v>
      </c>
      <c r="I52">
        <f t="shared" si="4"/>
        <v>607.870699884</v>
      </c>
      <c r="J52">
        <f t="shared" si="5"/>
        <v>608.074949447503</v>
      </c>
      <c r="M52" s="4">
        <v>757</v>
      </c>
      <c r="N52" s="4">
        <v>592</v>
      </c>
      <c r="O52">
        <f t="shared" si="6"/>
        <v>592.653827331</v>
      </c>
      <c r="P52">
        <f t="shared" si="7"/>
        <v>595.089874525802</v>
      </c>
    </row>
    <row r="53" spans="1:16">
      <c r="A53">
        <v>2730</v>
      </c>
      <c r="B53" s="3">
        <f>(L0!B53+L0!D53)/2</f>
        <v>754.5</v>
      </c>
      <c r="C53" s="3">
        <f>(L0!C53+L0!E53)/2</f>
        <v>611</v>
      </c>
      <c r="D53" s="3">
        <f>(L0!D53-L0!B53+L0!E53-L0!C53)/4</f>
        <v>47.75</v>
      </c>
      <c r="E53" s="3">
        <f>(L0!F53+L0!H53)/2</f>
        <v>756</v>
      </c>
      <c r="F53" s="3">
        <f>(L0!G53+L0!I53)/2</f>
        <v>571</v>
      </c>
      <c r="I53">
        <f t="shared" si="4"/>
        <v>610.75200265275</v>
      </c>
      <c r="J53">
        <f t="shared" si="5"/>
        <v>610.973510258803</v>
      </c>
      <c r="M53" s="4">
        <v>754</v>
      </c>
      <c r="N53" s="4">
        <v>601</v>
      </c>
      <c r="O53">
        <f t="shared" si="6"/>
        <v>595.175731404</v>
      </c>
      <c r="P53">
        <f t="shared" si="7"/>
        <v>597.888081234261</v>
      </c>
    </row>
    <row r="54" spans="1:16">
      <c r="A54">
        <v>2750</v>
      </c>
      <c r="B54" s="3">
        <f>(L0!B54+L0!D54)/2</f>
        <v>751</v>
      </c>
      <c r="C54" s="3">
        <f>(L0!C54+L0!E54)/2</f>
        <v>614.5</v>
      </c>
      <c r="D54" s="3">
        <f>(L0!D54-L0!B54+L0!E54-L0!C54)/4</f>
        <v>47.75</v>
      </c>
      <c r="E54" s="3">
        <f>(L0!F54+L0!H54)/2</f>
        <v>748</v>
      </c>
      <c r="F54" s="3">
        <f>(L0!G54+L0!I54)/2</f>
        <v>574</v>
      </c>
      <c r="I54">
        <f t="shared" si="4"/>
        <v>613.655187131</v>
      </c>
      <c r="J54">
        <f t="shared" si="5"/>
        <v>613.893059489084</v>
      </c>
      <c r="M54" s="4">
        <v>752</v>
      </c>
      <c r="N54" s="4">
        <v>605</v>
      </c>
      <c r="O54">
        <f t="shared" si="6"/>
        <v>596.865006976</v>
      </c>
      <c r="P54">
        <f t="shared" si="7"/>
        <v>599.756892760553</v>
      </c>
    </row>
    <row r="55" spans="1:16">
      <c r="A55">
        <v>2770</v>
      </c>
      <c r="B55" s="3">
        <f>(L0!B55+L0!D55)/2</f>
        <v>747</v>
      </c>
      <c r="C55" s="3">
        <f>(L0!C55+L0!E55)/2</f>
        <v>617</v>
      </c>
      <c r="D55" s="3">
        <f>(L0!D55-L0!B55+L0!E55-L0!C55)/4</f>
        <v>48</v>
      </c>
      <c r="E55" s="3">
        <f>(L0!F55+L0!H55)/2</f>
        <v>744</v>
      </c>
      <c r="F55" s="3">
        <f>(L0!G55+L0!I55)/2</f>
        <v>578</v>
      </c>
      <c r="I55">
        <f t="shared" si="4"/>
        <v>616.999906179</v>
      </c>
      <c r="J55">
        <f t="shared" si="5"/>
        <v>617.255234897634</v>
      </c>
      <c r="M55" s="4">
        <v>748</v>
      </c>
      <c r="N55" s="4">
        <v>607</v>
      </c>
      <c r="O55">
        <f t="shared" si="6"/>
        <v>600.262772976</v>
      </c>
      <c r="P55">
        <f t="shared" si="7"/>
        <v>603.500814850497</v>
      </c>
    </row>
    <row r="56" spans="1:16">
      <c r="A56">
        <v>2790</v>
      </c>
      <c r="B56" s="3">
        <f>(L0!B56+L0!D56)/2</f>
        <v>743.5</v>
      </c>
      <c r="C56" s="3">
        <f>(L0!C56+L0!E56)/2</f>
        <v>620.5</v>
      </c>
      <c r="D56" s="3">
        <f>(L0!D56-L0!B56+L0!E56-L0!C56)/4</f>
        <v>47.5</v>
      </c>
      <c r="E56" s="3">
        <f>(L0!F56+L0!H56)/2</f>
        <v>737</v>
      </c>
      <c r="F56" s="3">
        <f>(L0!G56+L0!I56)/2</f>
        <v>583</v>
      </c>
      <c r="I56">
        <f t="shared" si="4"/>
        <v>619.94998003475</v>
      </c>
      <c r="J56">
        <f t="shared" si="5"/>
        <v>620.219364030906</v>
      </c>
      <c r="M56" s="4">
        <v>744</v>
      </c>
      <c r="N56" s="4">
        <v>604</v>
      </c>
      <c r="O56">
        <f t="shared" si="6"/>
        <v>603.686158784</v>
      </c>
      <c r="P56">
        <f t="shared" si="7"/>
        <v>607.250650920349</v>
      </c>
    </row>
    <row r="57" spans="1:16">
      <c r="A57">
        <v>2810</v>
      </c>
      <c r="B57" s="3">
        <f>(L0!B57+L0!D57)/2</f>
        <v>739.5</v>
      </c>
      <c r="C57" s="3">
        <f>(L0!C57+L0!E57)/2</f>
        <v>623.5</v>
      </c>
      <c r="D57" s="3">
        <f>(L0!D57-L0!B57+L0!E57-L0!C57)/4</f>
        <v>47.5</v>
      </c>
      <c r="E57" s="3">
        <f>(L0!F57+L0!H57)/2</f>
        <v>732</v>
      </c>
      <c r="F57" s="3">
        <f>(L0!G57+L0!I57)/2</f>
        <v>587</v>
      </c>
      <c r="I57">
        <f t="shared" si="4"/>
        <v>623.34828694275</v>
      </c>
      <c r="J57">
        <f t="shared" si="5"/>
        <v>623.632193964655</v>
      </c>
      <c r="M57" s="4">
        <v>741</v>
      </c>
      <c r="N57" s="4">
        <v>607</v>
      </c>
      <c r="O57">
        <f t="shared" si="6"/>
        <v>606.270511139</v>
      </c>
      <c r="P57">
        <f t="shared" si="7"/>
        <v>610.065165553919</v>
      </c>
    </row>
    <row r="58" spans="1:16">
      <c r="A58">
        <v>2830</v>
      </c>
      <c r="B58" s="3">
        <f>(L0!B58+L0!D58)/2</f>
        <v>736</v>
      </c>
      <c r="C58" s="3">
        <f>(L0!C58+L0!E58)/2</f>
        <v>626.5</v>
      </c>
      <c r="D58" s="3">
        <f>(L0!D58-L0!B58+L0!E58-L0!C58)/4</f>
        <v>47.75</v>
      </c>
      <c r="E58" s="3">
        <f>(L0!F58+L0!H58)/2</f>
        <v>730</v>
      </c>
      <c r="F58" s="3">
        <f>(L0!G58+L0!I58)/2</f>
        <v>594</v>
      </c>
      <c r="I58">
        <f t="shared" si="4"/>
        <v>626.345250176</v>
      </c>
      <c r="J58">
        <f t="shared" si="5"/>
        <v>626.64040051356</v>
      </c>
      <c r="M58" s="4">
        <v>736</v>
      </c>
      <c r="N58" s="4">
        <v>616</v>
      </c>
      <c r="O58">
        <f t="shared" si="6"/>
        <v>610.609789824</v>
      </c>
      <c r="P58">
        <f t="shared" si="7"/>
        <v>614.756619672266</v>
      </c>
    </row>
    <row r="59" spans="1:16">
      <c r="A59">
        <v>2850</v>
      </c>
      <c r="B59" s="3">
        <f>(L0!B59+L0!D59)/2</f>
        <v>733</v>
      </c>
      <c r="C59" s="3">
        <f>(L0!C59+L0!E59)/2</f>
        <v>630</v>
      </c>
      <c r="D59" s="3">
        <f>(L0!D59-L0!B59+L0!E59-L0!C59)/4</f>
        <v>48</v>
      </c>
      <c r="E59" s="3">
        <f>(L0!F59+L0!H59)/2</f>
        <v>726</v>
      </c>
      <c r="F59" s="3">
        <f>(L0!G59+L0!I59)/2</f>
        <v>598</v>
      </c>
      <c r="I59">
        <f t="shared" si="4"/>
        <v>628.931491859</v>
      </c>
      <c r="J59">
        <f t="shared" si="5"/>
        <v>629.235113401538</v>
      </c>
      <c r="M59" s="4">
        <v>734</v>
      </c>
      <c r="N59" s="4">
        <v>620</v>
      </c>
      <c r="O59">
        <f t="shared" si="6"/>
        <v>612.356709964</v>
      </c>
      <c r="P59">
        <f t="shared" si="7"/>
        <v>616.63243903574</v>
      </c>
    </row>
    <row r="60" spans="1:16">
      <c r="A60">
        <v>2870</v>
      </c>
      <c r="B60" s="3">
        <f>(L0!B60+L0!D60)/2</f>
        <v>729</v>
      </c>
      <c r="C60" s="3">
        <f>(L0!C60+L0!E60)/2</f>
        <v>633</v>
      </c>
      <c r="D60" s="3">
        <f>(L0!D60-L0!B60+L0!E60-L0!C60)/4</f>
        <v>48</v>
      </c>
      <c r="E60" s="3">
        <f>(L0!F60+L0!H60)/2</f>
        <v>707</v>
      </c>
      <c r="F60" s="3">
        <f>(L0!G60+L0!I60)/2</f>
        <v>603</v>
      </c>
      <c r="I60">
        <f t="shared" si="4"/>
        <v>632.404821771</v>
      </c>
      <c r="J60">
        <f t="shared" si="5"/>
        <v>632.717959454964</v>
      </c>
      <c r="M60" s="4">
        <v>735</v>
      </c>
      <c r="N60" s="4">
        <v>616</v>
      </c>
      <c r="O60">
        <f t="shared" si="6"/>
        <v>611.482449275</v>
      </c>
      <c r="P60">
        <f t="shared" si="7"/>
        <v>615.694624147538</v>
      </c>
    </row>
    <row r="61" spans="1:16">
      <c r="A61">
        <v>2890</v>
      </c>
      <c r="B61" s="3">
        <f>(L0!B61+L0!D61)/2</f>
        <v>725.5</v>
      </c>
      <c r="C61" s="3">
        <f>(L0!C61+L0!E61)/2</f>
        <v>636.5</v>
      </c>
      <c r="D61" s="3">
        <f>(L0!D61-L0!B61+L0!E61-L0!C61)/4</f>
        <v>48.5</v>
      </c>
      <c r="E61" s="3">
        <f>(L0!F61+L0!H61)/2</f>
        <v>702</v>
      </c>
      <c r="F61" s="3">
        <f>(L0!G61+L0!I61)/2</f>
        <v>609</v>
      </c>
      <c r="I61">
        <f t="shared" si="4"/>
        <v>635.46743013275</v>
      </c>
      <c r="J61">
        <f t="shared" si="5"/>
        <v>635.78713613386</v>
      </c>
      <c r="M61" s="4">
        <v>726</v>
      </c>
      <c r="N61" s="4">
        <v>625</v>
      </c>
      <c r="O61">
        <f t="shared" si="6"/>
        <v>619.408440044</v>
      </c>
      <c r="P61">
        <f t="shared" si="7"/>
        <v>624.123572776673</v>
      </c>
    </row>
    <row r="62" spans="1:16">
      <c r="A62">
        <v>2910</v>
      </c>
      <c r="B62" s="3">
        <f>(L0!B62+L0!D62)/2</f>
        <v>722</v>
      </c>
      <c r="C62" s="3">
        <f>(L0!C62+L0!E62)/2</f>
        <v>640</v>
      </c>
      <c r="D62" s="3">
        <f>(L0!D62-L0!B62+L0!E62-L0!C62)/4</f>
        <v>48</v>
      </c>
      <c r="E62" s="3">
        <f>(L0!F62+L0!H62)/2</f>
        <v>697</v>
      </c>
      <c r="F62" s="3">
        <f>(L0!G62+L0!I62)/2</f>
        <v>613</v>
      </c>
      <c r="I62">
        <f t="shared" si="4"/>
        <v>638.551920204</v>
      </c>
      <c r="J62">
        <f t="shared" si="5"/>
        <v>638.876472608359</v>
      </c>
      <c r="M62" s="4">
        <v>730</v>
      </c>
      <c r="N62" s="4">
        <v>623</v>
      </c>
      <c r="O62">
        <f t="shared" si="6"/>
        <v>615.8697651</v>
      </c>
      <c r="P62">
        <f t="shared" si="7"/>
        <v>620.381029450542</v>
      </c>
    </row>
    <row r="63" spans="1:16">
      <c r="A63">
        <v>2930</v>
      </c>
      <c r="B63" s="3">
        <f>(L0!B63+L0!D63)/2</f>
        <v>718</v>
      </c>
      <c r="C63" s="3">
        <f>(L0!C63+L0!E63)/2</f>
        <v>643</v>
      </c>
      <c r="D63" s="3">
        <f>(L0!D63-L0!B63+L0!E63-L0!C63)/4</f>
        <v>48</v>
      </c>
      <c r="E63" s="3">
        <f>(L0!F63+L0!H63)/2</f>
        <v>692</v>
      </c>
      <c r="F63" s="3">
        <f>(L0!G63+L0!I63)/2</f>
        <v>619</v>
      </c>
      <c r="I63">
        <f t="shared" si="4"/>
        <v>642.103845644</v>
      </c>
      <c r="J63">
        <f t="shared" si="5"/>
        <v>642.431740419058</v>
      </c>
      <c r="M63" s="4">
        <v>728</v>
      </c>
      <c r="N63" s="4">
        <v>626</v>
      </c>
      <c r="O63">
        <f t="shared" si="6"/>
        <v>617.635900096</v>
      </c>
      <c r="P63">
        <f t="shared" si="7"/>
        <v>622.253200221767</v>
      </c>
    </row>
    <row r="64" spans="1:16">
      <c r="A64">
        <v>2950</v>
      </c>
      <c r="B64" s="3">
        <f>(L0!B64+L0!D64)/2</f>
        <v>714.5</v>
      </c>
      <c r="C64" s="3">
        <f>(L0!C64+L0!E64)/2</f>
        <v>646.5</v>
      </c>
      <c r="D64" s="3">
        <f>(L0!D64-L0!B64+L0!E64-L0!C64)/4</f>
        <v>48.5</v>
      </c>
      <c r="E64" s="3">
        <f>(L0!F64+L0!H64)/2</f>
        <v>688</v>
      </c>
      <c r="F64" s="3">
        <f>(L0!G64+L0!I64)/2</f>
        <v>625</v>
      </c>
      <c r="I64">
        <f t="shared" si="4"/>
        <v>645.23522509275</v>
      </c>
      <c r="J64">
        <f t="shared" si="5"/>
        <v>645.564055725001</v>
      </c>
      <c r="M64" s="4">
        <v>724</v>
      </c>
      <c r="N64" s="4">
        <v>629</v>
      </c>
      <c r="O64">
        <f t="shared" si="6"/>
        <v>621.187384944</v>
      </c>
      <c r="P64">
        <f t="shared" si="7"/>
        <v>625.991875167725</v>
      </c>
    </row>
    <row r="65" spans="1:16">
      <c r="A65">
        <v>2970</v>
      </c>
      <c r="B65" s="3">
        <f>(L0!B65+L0!D65)/2</f>
        <v>711</v>
      </c>
      <c r="C65" s="3">
        <f>(L0!C65+L0!E65)/2</f>
        <v>649</v>
      </c>
      <c r="D65" s="3">
        <f>(L0!D65-L0!B65+L0!E65-L0!C65)/4</f>
        <v>48</v>
      </c>
      <c r="E65" s="3">
        <f>(L0!F65+L0!H65)/2</f>
        <v>682</v>
      </c>
      <c r="F65" s="3">
        <f>(L0!G65+L0!I65)/2</f>
        <v>632</v>
      </c>
      <c r="I65">
        <f t="shared" si="4"/>
        <v>648.388486251</v>
      </c>
      <c r="J65">
        <f t="shared" si="5"/>
        <v>648.716344152852</v>
      </c>
      <c r="M65" s="4">
        <v>721</v>
      </c>
      <c r="N65" s="4">
        <v>632</v>
      </c>
      <c r="O65">
        <f t="shared" si="6"/>
        <v>623.867811579</v>
      </c>
      <c r="P65">
        <f t="shared" si="7"/>
        <v>628.789882560279</v>
      </c>
    </row>
    <row r="66" spans="1:16">
      <c r="A66">
        <v>2990</v>
      </c>
      <c r="B66" s="3">
        <f>(L0!B66+L0!D66)/2</f>
        <v>707.5</v>
      </c>
      <c r="C66" s="3">
        <f>(L0!C66+L0!E66)/2</f>
        <v>653</v>
      </c>
      <c r="D66" s="3">
        <f>(L0!D66-L0!B66+L0!E66-L0!C66)/4</f>
        <v>48.75</v>
      </c>
      <c r="E66" s="3">
        <f>(L0!F66+L0!H66)/2</f>
        <v>678</v>
      </c>
      <c r="F66" s="3">
        <f>(L0!G66+L0!I66)/2</f>
        <v>637</v>
      </c>
      <c r="I66">
        <f t="shared" si="4"/>
        <v>651.56362911875</v>
      </c>
      <c r="J66">
        <f t="shared" si="5"/>
        <v>651.888565744714</v>
      </c>
      <c r="M66" s="4">
        <v>718</v>
      </c>
      <c r="N66" s="4">
        <v>635</v>
      </c>
      <c r="O66">
        <f t="shared" si="6"/>
        <v>626.562649356</v>
      </c>
      <c r="P66">
        <f t="shared" si="7"/>
        <v>631.581828655049</v>
      </c>
    </row>
    <row r="67" spans="1:16">
      <c r="A67">
        <v>3010</v>
      </c>
      <c r="B67" s="3">
        <f>(L0!B67+L0!D67)/2</f>
        <v>703.5</v>
      </c>
      <c r="C67" s="3">
        <f>(L0!C67+L0!E67)/2</f>
        <v>655.5</v>
      </c>
      <c r="D67" s="3">
        <f>(L0!D67-L0!B67+L0!E67-L0!C67)/4</f>
        <v>48.5</v>
      </c>
      <c r="E67" s="3">
        <f>(L0!F67+L0!H67)/2</f>
        <v>673</v>
      </c>
      <c r="F67" s="3">
        <f>(L0!G67+L0!I67)/2</f>
        <v>644</v>
      </c>
      <c r="I67">
        <f t="shared" ref="I67:I112" si="8">$H$2+$H$3*B67+$H$4*B67^2</f>
        <v>655.21915775475</v>
      </c>
      <c r="J67">
        <f t="shared" ref="J67:J112" si="9">$H$7+$H$8*B67+$H$9*B67^2+$H$10*B67^3+$H$11*B67^4+$H$12*B67^5</f>
        <v>655.538332288219</v>
      </c>
      <c r="M67" s="4">
        <v>714</v>
      </c>
      <c r="N67" s="4">
        <v>638</v>
      </c>
      <c r="O67">
        <f t="shared" ref="O67:O112" si="10">$L$2+$L$3*M67+$L$4*M67^2</f>
        <v>630.178183724</v>
      </c>
      <c r="P67">
        <f t="shared" ref="P67:P112" si="11">$L$7+$L$8*M67+$L$9*M67^2+$L$10*M67^3+$L$11*M67^4+$L$12*M67^5</f>
        <v>635.293703051899</v>
      </c>
    </row>
    <row r="68" spans="1:16">
      <c r="A68">
        <v>3030</v>
      </c>
      <c r="B68" s="3">
        <f>(L0!B68+L0!D68)/2</f>
        <v>701</v>
      </c>
      <c r="C68" s="3">
        <f>(L0!C68+L0!E68)/2</f>
        <v>658</v>
      </c>
      <c r="D68" s="3">
        <f>(L0!D68-L0!B68+L0!E68-L0!C68)/4</f>
        <v>48</v>
      </c>
      <c r="E68" s="3">
        <f>(L0!F68+L0!H68)/2</f>
        <v>670</v>
      </c>
      <c r="F68" s="3">
        <f>(L0!G68+L0!I68)/2</f>
        <v>650</v>
      </c>
      <c r="I68">
        <f t="shared" si="8"/>
        <v>657.518376531</v>
      </c>
      <c r="J68">
        <f t="shared" si="9"/>
        <v>657.83262518242</v>
      </c>
      <c r="M68" s="4">
        <v>710</v>
      </c>
      <c r="N68" s="4">
        <v>641</v>
      </c>
      <c r="O68">
        <f t="shared" si="10"/>
        <v>633.8193379</v>
      </c>
      <c r="P68">
        <f t="shared" si="11"/>
        <v>638.991888213499</v>
      </c>
    </row>
    <row r="69" spans="1:16">
      <c r="A69">
        <v>3050</v>
      </c>
      <c r="B69" s="3">
        <f>(L0!B69+L0!D69)/2</f>
        <v>697</v>
      </c>
      <c r="C69" s="3">
        <f>(L0!C69+L0!E69)/2</f>
        <v>662</v>
      </c>
      <c r="D69" s="3">
        <f>(L0!D69-L0!B69+L0!E69-L0!C69)/4</f>
        <v>48</v>
      </c>
      <c r="E69" s="3">
        <f>(L0!F69+L0!H69)/2</f>
        <v>668</v>
      </c>
      <c r="F69" s="3">
        <f>(L0!G69+L0!I69)/2</f>
        <v>656</v>
      </c>
      <c r="I69">
        <f t="shared" si="8"/>
        <v>661.220347979</v>
      </c>
      <c r="J69">
        <f t="shared" si="9"/>
        <v>661.524588118057</v>
      </c>
      <c r="M69" s="4">
        <v>706</v>
      </c>
      <c r="N69" s="4">
        <v>644</v>
      </c>
      <c r="O69">
        <f t="shared" si="10"/>
        <v>637.486111884</v>
      </c>
      <c r="P69">
        <f t="shared" si="11"/>
        <v>642.675048530415</v>
      </c>
    </row>
    <row r="70" spans="1:16">
      <c r="A70">
        <v>3070</v>
      </c>
      <c r="B70" s="3">
        <f>(L0!B70+L0!D70)/2</f>
        <v>693</v>
      </c>
      <c r="C70" s="3">
        <f>(L0!C70+L0!E70)/2</f>
        <v>665</v>
      </c>
      <c r="D70" s="3">
        <f>(L0!D70-L0!B70+L0!E70-L0!C70)/4</f>
        <v>48</v>
      </c>
      <c r="E70" s="3">
        <f>(L0!F70+L0!H70)/2</f>
        <v>665</v>
      </c>
      <c r="F70" s="3">
        <f>(L0!G70+L0!I70)/2</f>
        <v>660</v>
      </c>
      <c r="I70">
        <f t="shared" si="8"/>
        <v>664.950899619</v>
      </c>
      <c r="J70">
        <f t="shared" si="9"/>
        <v>665.242519918046</v>
      </c>
      <c r="M70" s="4">
        <v>702</v>
      </c>
      <c r="N70" s="4">
        <v>647</v>
      </c>
      <c r="O70">
        <f t="shared" si="10"/>
        <v>641.178505676</v>
      </c>
      <c r="P70">
        <f t="shared" si="11"/>
        <v>646.342112528248</v>
      </c>
    </row>
    <row r="71" spans="1:16">
      <c r="A71">
        <v>3090</v>
      </c>
      <c r="B71" s="3">
        <f>(L0!B71+L0!D71)/2</f>
        <v>689.5</v>
      </c>
      <c r="C71" s="3">
        <f>(L0!C71+L0!E71)/2</f>
        <v>668.5</v>
      </c>
      <c r="D71" s="3">
        <f>(L0!D71-L0!B71+L0!E71-L0!C71)/4</f>
        <v>47.5</v>
      </c>
      <c r="E71" s="3">
        <f>(L0!F71+L0!H71)/2</f>
        <v>661</v>
      </c>
      <c r="F71" s="3">
        <f>(L0!G71+L0!I71)/2</f>
        <v>669</v>
      </c>
      <c r="I71">
        <f t="shared" si="8"/>
        <v>668.23857699275</v>
      </c>
      <c r="J71">
        <f t="shared" si="9"/>
        <v>668.517033529888</v>
      </c>
      <c r="M71" s="4">
        <v>697</v>
      </c>
      <c r="N71" s="4">
        <v>649</v>
      </c>
      <c r="O71">
        <f t="shared" si="10"/>
        <v>645.830025771</v>
      </c>
      <c r="P71">
        <f t="shared" si="11"/>
        <v>650.902131328181</v>
      </c>
    </row>
    <row r="72" spans="1:16">
      <c r="A72">
        <v>3110</v>
      </c>
      <c r="B72" s="3">
        <f>(L0!B72+L0!D72)/2</f>
        <v>685.5</v>
      </c>
      <c r="C72" s="3">
        <f>(L0!C72+L0!E72)/2</f>
        <v>671.5</v>
      </c>
      <c r="D72" s="3">
        <f>(L0!D72-L0!B72+L0!E72-L0!C72)/4</f>
        <v>47.5</v>
      </c>
      <c r="E72" s="3">
        <f>(L0!F72+L0!H72)/2</f>
        <v>658</v>
      </c>
      <c r="F72" s="3">
        <f>(L0!G72+L0!I72)/2</f>
        <v>676</v>
      </c>
      <c r="I72">
        <f t="shared" si="8"/>
        <v>672.02271649275</v>
      </c>
      <c r="J72">
        <f t="shared" si="9"/>
        <v>672.283747414842</v>
      </c>
      <c r="M72" s="4">
        <v>692</v>
      </c>
      <c r="N72" s="4">
        <v>652</v>
      </c>
      <c r="O72">
        <f t="shared" si="10"/>
        <v>650.521576816</v>
      </c>
      <c r="P72">
        <f t="shared" si="11"/>
        <v>655.434903365251</v>
      </c>
    </row>
    <row r="73" spans="1:16">
      <c r="A73">
        <v>3130</v>
      </c>
      <c r="B73" s="3">
        <f>(L0!B73+L0!D73)/2</f>
        <v>681.5</v>
      </c>
      <c r="C73" s="3">
        <f>(L0!C73+L0!E73)/2</f>
        <v>675.5</v>
      </c>
      <c r="D73" s="3">
        <f>(L0!D73-L0!B73+L0!E73-L0!C73)/4</f>
        <v>47.5</v>
      </c>
      <c r="E73" s="3">
        <f>(L0!F73+L0!H73)/2</f>
        <v>654</v>
      </c>
      <c r="F73" s="3">
        <f>(L0!G73+L0!I73)/2</f>
        <v>685</v>
      </c>
      <c r="I73">
        <f t="shared" si="8"/>
        <v>675.83543618475</v>
      </c>
      <c r="J73">
        <f t="shared" si="9"/>
        <v>676.076569193699</v>
      </c>
      <c r="M73" s="4">
        <v>686</v>
      </c>
      <c r="N73" s="4">
        <v>656</v>
      </c>
      <c r="O73">
        <f t="shared" si="10"/>
        <v>656.204278924</v>
      </c>
      <c r="P73">
        <f t="shared" si="11"/>
        <v>660.838177173438</v>
      </c>
    </row>
    <row r="74" spans="1:16">
      <c r="A74">
        <v>3150</v>
      </c>
      <c r="B74" s="3">
        <f>(L0!B74+L0!D74)/2</f>
        <v>678.5</v>
      </c>
      <c r="C74" s="3">
        <f>(L0!C74+L0!E74)/2</f>
        <v>678.5</v>
      </c>
      <c r="D74" s="3">
        <f>(L0!D74-L0!B74+L0!E74-L0!C74)/4</f>
        <v>47.5</v>
      </c>
      <c r="E74" s="3">
        <f>(L0!F74+L0!H74)/2</f>
        <v>651</v>
      </c>
      <c r="F74" s="3">
        <f>(L0!G74+L0!I74)/2</f>
        <v>696</v>
      </c>
      <c r="I74">
        <f t="shared" si="8"/>
        <v>678.71373170475</v>
      </c>
      <c r="J74">
        <f t="shared" si="9"/>
        <v>678.938374688606</v>
      </c>
      <c r="M74" s="4">
        <v>681</v>
      </c>
      <c r="N74" s="4">
        <v>659</v>
      </c>
      <c r="O74">
        <f t="shared" si="10"/>
        <v>660.983898059</v>
      </c>
      <c r="P74">
        <f t="shared" si="11"/>
        <v>665.311819875864</v>
      </c>
    </row>
    <row r="75" spans="1:16">
      <c r="A75">
        <v>3170</v>
      </c>
      <c r="B75" s="3">
        <f>(L0!B75+L0!D75)/2</f>
        <v>674.5</v>
      </c>
      <c r="C75" s="3">
        <f>(L0!C75+L0!E75)/2</f>
        <v>682</v>
      </c>
      <c r="D75" s="3">
        <f>(L0!D75-L0!B75+L0!E75-L0!C75)/4</f>
        <v>47.25</v>
      </c>
      <c r="E75" s="3">
        <f>(L0!F75+L0!H75)/2</f>
        <v>649</v>
      </c>
      <c r="F75" s="3">
        <f>(L0!G75+L0!I75)/2</f>
        <v>699</v>
      </c>
      <c r="I75">
        <f t="shared" si="8"/>
        <v>682.57646673275</v>
      </c>
      <c r="J75">
        <f t="shared" si="9"/>
        <v>682.777127812543</v>
      </c>
      <c r="M75" s="4">
        <v>675</v>
      </c>
      <c r="N75" s="4">
        <v>662</v>
      </c>
      <c r="O75">
        <f t="shared" si="10"/>
        <v>666.772281875</v>
      </c>
      <c r="P75">
        <f t="shared" si="11"/>
        <v>670.647980029353</v>
      </c>
    </row>
    <row r="76" spans="1:16">
      <c r="A76">
        <v>3190</v>
      </c>
      <c r="B76" s="3">
        <f>(L0!B76+L0!D76)/2</f>
        <v>670.5</v>
      </c>
      <c r="C76" s="3">
        <f>(L0!C76+L0!E76)/2</f>
        <v>685.5</v>
      </c>
      <c r="D76" s="3">
        <f>(L0!D76-L0!B76+L0!E76-L0!C76)/4</f>
        <v>47.5</v>
      </c>
      <c r="E76" s="3">
        <f>(L0!F76+L0!H76)/2</f>
        <v>646</v>
      </c>
      <c r="F76" s="3">
        <f>(L0!G76+L0!I76)/2</f>
        <v>710</v>
      </c>
      <c r="I76">
        <f t="shared" si="8"/>
        <v>686.46778195275</v>
      </c>
      <c r="J76">
        <f t="shared" si="9"/>
        <v>686.642310561457</v>
      </c>
      <c r="M76" s="4">
        <v>671</v>
      </c>
      <c r="N76" s="4">
        <v>666</v>
      </c>
      <c r="O76">
        <f t="shared" si="10"/>
        <v>670.663229179</v>
      </c>
      <c r="P76">
        <f t="shared" si="11"/>
        <v>674.188133215128</v>
      </c>
    </row>
    <row r="77" spans="1:16">
      <c r="A77">
        <v>3210</v>
      </c>
      <c r="B77" s="3">
        <f>(L0!B77+L0!D77)/2</f>
        <v>667</v>
      </c>
      <c r="C77" s="3">
        <f>(L0!C77+L0!E77)/2</f>
        <v>689</v>
      </c>
      <c r="D77" s="3">
        <f>(L0!D77-L0!B77+L0!E77-L0!C77)/4</f>
        <v>47</v>
      </c>
      <c r="E77" s="3">
        <f>(L0!F77+L0!H77)/2</f>
        <v>645</v>
      </c>
      <c r="F77" s="3">
        <f>(L0!G77+L0!I77)/2</f>
        <v>716</v>
      </c>
      <c r="I77">
        <f t="shared" si="8"/>
        <v>689.896127459</v>
      </c>
      <c r="J77">
        <f t="shared" si="9"/>
        <v>690.046156756451</v>
      </c>
      <c r="M77" s="4">
        <v>667</v>
      </c>
      <c r="N77" s="4">
        <v>670</v>
      </c>
      <c r="O77">
        <f t="shared" si="10"/>
        <v>674.579796291</v>
      </c>
      <c r="P77">
        <f t="shared" si="11"/>
        <v>677.716692732385</v>
      </c>
    </row>
    <row r="78" spans="1:16">
      <c r="A78">
        <v>3230</v>
      </c>
      <c r="B78" s="3">
        <f>(L0!B78+L0!D78)/2</f>
        <v>663.5</v>
      </c>
      <c r="C78" s="3">
        <f>(L0!C78+L0!E78)/2</f>
        <v>692</v>
      </c>
      <c r="D78" s="3">
        <f>(L0!D78-L0!B78+L0!E78-L0!C78)/4</f>
        <v>46.75</v>
      </c>
      <c r="E78" s="3">
        <f>(L0!F78+L0!H78)/2</f>
        <v>644</v>
      </c>
      <c r="F78" s="3">
        <f>(L0!G78+L0!I78)/2</f>
        <v>719</v>
      </c>
      <c r="I78">
        <f t="shared" si="8"/>
        <v>693.34635467475</v>
      </c>
      <c r="J78">
        <f t="shared" si="9"/>
        <v>693.470495549212</v>
      </c>
      <c r="M78" s="4">
        <v>663</v>
      </c>
      <c r="N78" s="4">
        <v>674</v>
      </c>
      <c r="O78">
        <f t="shared" si="10"/>
        <v>678.521983211</v>
      </c>
      <c r="P78">
        <f t="shared" si="11"/>
        <v>681.236057636706</v>
      </c>
    </row>
    <row r="79" spans="1:16">
      <c r="A79">
        <v>3250</v>
      </c>
      <c r="B79" s="3">
        <f>(L0!B79+L0!D79)/2</f>
        <v>659.5</v>
      </c>
      <c r="C79" s="3">
        <f>(L0!C79+L0!E79)/2</f>
        <v>696</v>
      </c>
      <c r="D79" s="3">
        <f>(L0!D79-L0!B79+L0!E79-L0!C79)/4</f>
        <v>47.25</v>
      </c>
      <c r="E79" s="3">
        <f>(L0!F79+L0!H79)/2</f>
        <v>643</v>
      </c>
      <c r="F79" s="3">
        <f>(L0!G79+L0!I79)/2</f>
        <v>726</v>
      </c>
      <c r="I79">
        <f t="shared" si="8"/>
        <v>697.31626542275</v>
      </c>
      <c r="J79">
        <f t="shared" si="9"/>
        <v>697.409308053921</v>
      </c>
      <c r="M79" s="4">
        <v>660</v>
      </c>
      <c r="N79" s="4">
        <v>678</v>
      </c>
      <c r="O79">
        <f t="shared" si="10"/>
        <v>681.4954364</v>
      </c>
      <c r="P79">
        <f t="shared" si="11"/>
        <v>683.871242576031</v>
      </c>
    </row>
    <row r="80" spans="1:16">
      <c r="A80">
        <v>3270</v>
      </c>
      <c r="B80" s="3">
        <f>(L0!B80+L0!D80)/2</f>
        <v>656.5</v>
      </c>
      <c r="C80" s="3">
        <f>(L0!C80+L0!E80)/2</f>
        <v>699</v>
      </c>
      <c r="D80" s="3">
        <f>(L0!D80-L0!B80+L0!E80-L0!C80)/4</f>
        <v>46.75</v>
      </c>
      <c r="E80" s="3">
        <f>(L0!F80+L0!H80)/2</f>
        <v>642</v>
      </c>
      <c r="F80" s="3">
        <f>(L0!G80+L0!I80)/2</f>
        <v>729</v>
      </c>
      <c r="I80">
        <f t="shared" si="8"/>
        <v>700.31245423475</v>
      </c>
      <c r="J80">
        <f t="shared" si="9"/>
        <v>700.381257016729</v>
      </c>
      <c r="M80" s="4">
        <v>657</v>
      </c>
      <c r="N80" s="4">
        <v>682</v>
      </c>
      <c r="O80">
        <f t="shared" si="10"/>
        <v>684.483300731</v>
      </c>
      <c r="P80">
        <f t="shared" si="11"/>
        <v>686.504219162005</v>
      </c>
    </row>
    <row r="81" spans="1:16">
      <c r="A81">
        <v>3290</v>
      </c>
      <c r="B81" s="3">
        <f>(L0!B81+L0!D81)/2</f>
        <v>652.5</v>
      </c>
      <c r="C81" s="3">
        <f>(L0!C81+L0!E81)/2</f>
        <v>703</v>
      </c>
      <c r="D81" s="3">
        <f>(L0!D81-L0!B81+L0!E81-L0!C81)/4</f>
        <v>46.75</v>
      </c>
      <c r="E81" s="3">
        <f>(L0!F81+L0!H81)/2</f>
        <v>641</v>
      </c>
      <c r="F81" s="3">
        <f>(L0!G81+L0!I81)/2</f>
        <v>733</v>
      </c>
      <c r="I81">
        <f t="shared" si="8"/>
        <v>704.33238031875</v>
      </c>
      <c r="J81">
        <f t="shared" si="9"/>
        <v>704.367862683258</v>
      </c>
      <c r="M81" s="4">
        <v>654</v>
      </c>
      <c r="N81" s="4">
        <v>686</v>
      </c>
      <c r="O81">
        <f t="shared" si="10"/>
        <v>687.485576204</v>
      </c>
      <c r="P81">
        <f t="shared" si="11"/>
        <v>689.136510340762</v>
      </c>
    </row>
    <row r="82" spans="1:16">
      <c r="A82">
        <v>3310</v>
      </c>
      <c r="B82" s="3">
        <f>(L0!B82+L0!D82)/2</f>
        <v>649</v>
      </c>
      <c r="C82" s="3">
        <f>(L0!C82+L0!E82)/2</f>
        <v>707</v>
      </c>
      <c r="D82" s="3">
        <f>(L0!D82-L0!B82+L0!E82-L0!C82)/4</f>
        <v>47</v>
      </c>
      <c r="E82" s="3">
        <f>(L0!F82+L0!H82)/2</f>
        <v>640</v>
      </c>
      <c r="F82" s="3">
        <f>(L0!G82+L0!I82)/2</f>
        <v>737</v>
      </c>
      <c r="I82">
        <f t="shared" si="8"/>
        <v>707.873260331</v>
      </c>
      <c r="J82">
        <f t="shared" si="9"/>
        <v>707.878867973371</v>
      </c>
      <c r="M82" s="4">
        <v>651</v>
      </c>
      <c r="N82" s="4">
        <v>690</v>
      </c>
      <c r="O82">
        <f t="shared" si="10"/>
        <v>690.502262819</v>
      </c>
      <c r="P82">
        <f t="shared" si="11"/>
        <v>691.769794247597</v>
      </c>
    </row>
    <row r="83" spans="1:16">
      <c r="A83">
        <v>3330</v>
      </c>
      <c r="B83" s="3">
        <f>(L0!B83+L0!D83)/2</f>
        <v>645.5</v>
      </c>
      <c r="C83" s="3">
        <f>(L0!C83+L0!E83)/2</f>
        <v>711</v>
      </c>
      <c r="D83" s="3">
        <f>(L0!D83-L0!B83+L0!E83-L0!C83)/4</f>
        <v>47.25</v>
      </c>
      <c r="E83" s="3">
        <f>(L0!F83+L0!H83)/2</f>
        <v>639</v>
      </c>
      <c r="F83" s="3">
        <f>(L0!G83+L0!I83)/2</f>
        <v>739</v>
      </c>
      <c r="I83">
        <f t="shared" si="8"/>
        <v>711.43602205275</v>
      </c>
      <c r="J83">
        <f t="shared" si="9"/>
        <v>711.411317862325</v>
      </c>
      <c r="M83" s="4">
        <v>648</v>
      </c>
      <c r="N83" s="4">
        <v>694</v>
      </c>
      <c r="O83">
        <f t="shared" si="10"/>
        <v>693.533360576</v>
      </c>
      <c r="P83">
        <f t="shared" si="11"/>
        <v>694.405908260411</v>
      </c>
    </row>
    <row r="84" spans="1:16">
      <c r="A84">
        <v>3350</v>
      </c>
      <c r="B84" s="3">
        <f>(L0!B84+L0!D84)/2</f>
        <v>642</v>
      </c>
      <c r="C84" s="3">
        <f>(L0!C84+L0!E84)/2</f>
        <v>714.5</v>
      </c>
      <c r="D84" s="3">
        <f>(L0!D84-L0!B84+L0!E84-L0!C84)/4</f>
        <v>47.25</v>
      </c>
      <c r="E84" s="3">
        <f>(L0!F84+L0!H84)/2</f>
        <v>639</v>
      </c>
      <c r="F84" s="3">
        <f>(L0!G84+L0!I84)/2</f>
        <v>744</v>
      </c>
      <c r="I84">
        <f t="shared" si="8"/>
        <v>715.020665484</v>
      </c>
      <c r="J84">
        <f t="shared" si="9"/>
        <v>714.965456753416</v>
      </c>
      <c r="M84" s="4">
        <v>645</v>
      </c>
      <c r="N84" s="4">
        <v>698</v>
      </c>
      <c r="O84">
        <f t="shared" si="10"/>
        <v>696.578869475</v>
      </c>
      <c r="P84">
        <f t="shared" si="11"/>
        <v>697.046853053356</v>
      </c>
    </row>
    <row r="85" spans="1:16">
      <c r="A85">
        <v>3370</v>
      </c>
      <c r="B85" s="3">
        <f>(L0!B85+L0!D85)/2</f>
        <v>638.5</v>
      </c>
      <c r="C85" s="3">
        <f>(L0!C85+L0!E85)/2</f>
        <v>718</v>
      </c>
      <c r="D85" s="3">
        <f>(L0!D85-L0!B85+L0!E85-L0!C85)/4</f>
        <v>47.25</v>
      </c>
      <c r="E85" s="3">
        <f>(L0!F85+L0!H85)/2</f>
        <v>639</v>
      </c>
      <c r="F85" s="3">
        <f>(L0!G85+L0!I85)/2</f>
        <v>750</v>
      </c>
      <c r="I85">
        <f t="shared" si="8"/>
        <v>718.62719062475</v>
      </c>
      <c r="J85">
        <f t="shared" si="9"/>
        <v>718.541549663065</v>
      </c>
      <c r="M85" s="4">
        <v>642</v>
      </c>
      <c r="N85" s="4">
        <v>702</v>
      </c>
      <c r="O85">
        <f t="shared" si="10"/>
        <v>699.638789516</v>
      </c>
      <c r="P85">
        <f t="shared" si="11"/>
        <v>699.69479665072</v>
      </c>
    </row>
    <row r="86" spans="1:16">
      <c r="A86">
        <v>3390</v>
      </c>
      <c r="B86" s="3">
        <f>(L0!B86+L0!D86)/2</f>
        <v>634.5</v>
      </c>
      <c r="C86" s="3">
        <f>(L0!C86+L0!E86)/2</f>
        <v>722.5</v>
      </c>
      <c r="D86" s="3">
        <f>(L0!D86-L0!B86+L0!E86-L0!C86)/4</f>
        <v>47.5</v>
      </c>
      <c r="E86" s="3">
        <f>(L0!F86+L0!H86)/2</f>
        <v>639</v>
      </c>
      <c r="F86" s="3">
        <f>(L0!G86+L0!I86)/2</f>
        <v>754</v>
      </c>
      <c r="I86">
        <f t="shared" si="8"/>
        <v>722.77572757275</v>
      </c>
      <c r="J86">
        <f t="shared" si="9"/>
        <v>722.65576356085</v>
      </c>
      <c r="M86" s="4">
        <v>639</v>
      </c>
      <c r="N86" s="4">
        <v>706</v>
      </c>
      <c r="O86">
        <f t="shared" si="10"/>
        <v>702.713120699</v>
      </c>
      <c r="P86">
        <f t="shared" si="11"/>
        <v>702.352078480419</v>
      </c>
    </row>
    <row r="87" spans="1:16">
      <c r="A87">
        <v>3410</v>
      </c>
      <c r="B87" s="3">
        <f>(L0!B87+L0!D87)/2</f>
        <v>631.5</v>
      </c>
      <c r="C87" s="3">
        <f>(L0!C87+L0!E87)/2</f>
        <v>725.5</v>
      </c>
      <c r="D87" s="3">
        <f>(L0!D87-L0!B87+L0!E87-L0!C87)/4</f>
        <v>47.5</v>
      </c>
      <c r="E87" s="3">
        <f>(L0!F87+L0!H87)/2</f>
        <v>639</v>
      </c>
      <c r="F87" s="3">
        <f>(L0!G87+L0!I87)/2</f>
        <v>756</v>
      </c>
      <c r="I87">
        <f t="shared" si="8"/>
        <v>725.90588603475</v>
      </c>
      <c r="J87">
        <f t="shared" si="9"/>
        <v>725.760763967318</v>
      </c>
      <c r="M87" s="4">
        <v>635</v>
      </c>
      <c r="N87" s="4">
        <v>710</v>
      </c>
      <c r="O87">
        <f t="shared" si="10"/>
        <v>706.834646275</v>
      </c>
      <c r="P87">
        <f t="shared" si="11"/>
        <v>705.91401955222</v>
      </c>
    </row>
    <row r="88" spans="1:16">
      <c r="A88">
        <v>3430</v>
      </c>
      <c r="B88" s="3">
        <f>(L0!B88+L0!D88)/2</f>
        <v>627.5</v>
      </c>
      <c r="C88" s="3">
        <f>(L0!C88+L0!E88)/2</f>
        <v>729.5</v>
      </c>
      <c r="D88" s="3">
        <f>(L0!D88-L0!B88+L0!E88-L0!C88)/4</f>
        <v>47.5</v>
      </c>
      <c r="E88" s="3">
        <f>(L0!F88+L0!H88)/2</f>
        <v>639</v>
      </c>
      <c r="F88" s="3">
        <f>(L0!G88+L0!I88)/2</f>
        <v>763</v>
      </c>
      <c r="I88">
        <f t="shared" si="8"/>
        <v>730.10443831875</v>
      </c>
      <c r="J88">
        <f t="shared" si="9"/>
        <v>729.926948373754</v>
      </c>
      <c r="M88" s="4">
        <v>632</v>
      </c>
      <c r="N88" s="4">
        <v>714</v>
      </c>
      <c r="O88">
        <f t="shared" si="10"/>
        <v>709.942603456</v>
      </c>
      <c r="P88">
        <f t="shared" si="11"/>
        <v>708.603181550085</v>
      </c>
    </row>
    <row r="89" spans="1:16">
      <c r="A89">
        <v>3450</v>
      </c>
      <c r="B89" s="3">
        <f>(L0!B89+L0!D89)/2</f>
        <v>624</v>
      </c>
      <c r="C89" s="3">
        <f>(L0!C89+L0!E89)/2</f>
        <v>734</v>
      </c>
      <c r="D89" s="3">
        <f>(L0!D89-L0!B89+L0!E89-L0!C89)/4</f>
        <v>48</v>
      </c>
      <c r="E89" s="3">
        <f>(L0!F89+L0!H89)/2</f>
        <v>638</v>
      </c>
      <c r="F89" s="3">
        <f>(L0!G89+L0!I89)/2</f>
        <v>764</v>
      </c>
      <c r="I89">
        <f t="shared" si="8"/>
        <v>733.801616256</v>
      </c>
      <c r="J89">
        <f t="shared" si="9"/>
        <v>733.597287935789</v>
      </c>
      <c r="M89" s="4">
        <v>628</v>
      </c>
      <c r="N89" s="4">
        <v>717</v>
      </c>
      <c r="O89">
        <f t="shared" si="10"/>
        <v>714.108963696</v>
      </c>
      <c r="P89">
        <f t="shared" si="11"/>
        <v>712.217929292477</v>
      </c>
    </row>
    <row r="90" spans="1:16">
      <c r="A90">
        <v>3470</v>
      </c>
      <c r="B90" s="3">
        <f>(L0!B90+L0!D90)/2</f>
        <v>621</v>
      </c>
      <c r="C90" s="3">
        <f>(L0!C90+L0!E90)/2</f>
        <v>738</v>
      </c>
      <c r="D90" s="3">
        <f>(L0!D90-L0!B90+L0!E90-L0!C90)/4</f>
        <v>48</v>
      </c>
      <c r="E90" s="3">
        <f>(L0!F90+L0!H90)/2</f>
        <v>638</v>
      </c>
      <c r="F90" s="3">
        <f>(L0!G90+L0!I90)/2</f>
        <v>767</v>
      </c>
      <c r="I90">
        <f t="shared" si="8"/>
        <v>736.988041971</v>
      </c>
      <c r="J90">
        <f t="shared" si="9"/>
        <v>736.762112241655</v>
      </c>
      <c r="M90" s="4">
        <v>625</v>
      </c>
      <c r="N90" s="4">
        <v>721</v>
      </c>
      <c r="O90">
        <f t="shared" si="10"/>
        <v>717.250546875</v>
      </c>
      <c r="P90">
        <f t="shared" si="11"/>
        <v>714.954986572264</v>
      </c>
    </row>
    <row r="91" spans="1:16">
      <c r="A91">
        <v>3490</v>
      </c>
      <c r="B91" s="3">
        <f>(L0!B91+L0!D91)/2</f>
        <v>617.5</v>
      </c>
      <c r="C91" s="3">
        <f>(L0!C91+L0!E91)/2</f>
        <v>742.5</v>
      </c>
      <c r="D91" s="3">
        <f>(L0!D91-L0!B91+L0!E91-L0!C91)/4</f>
        <v>48.5</v>
      </c>
      <c r="E91" s="3">
        <f>(L0!F91+L0!H91)/2</f>
        <v>638</v>
      </c>
      <c r="F91" s="3">
        <f>(L0!G91+L0!I91)/2</f>
        <v>772</v>
      </c>
      <c r="I91">
        <f t="shared" si="8"/>
        <v>740.72585736875</v>
      </c>
      <c r="J91">
        <f t="shared" si="9"/>
        <v>740.476718201257</v>
      </c>
      <c r="M91" s="4">
        <v>621</v>
      </c>
      <c r="N91" s="4">
        <v>724</v>
      </c>
      <c r="O91">
        <f t="shared" si="10"/>
        <v>721.461741779</v>
      </c>
      <c r="P91">
        <f t="shared" si="11"/>
        <v>718.64549869427</v>
      </c>
    </row>
    <row r="92" spans="1:16">
      <c r="A92">
        <v>3510</v>
      </c>
      <c r="B92" s="3">
        <f>(L0!B92+L0!D92)/2</f>
        <v>614</v>
      </c>
      <c r="C92" s="3">
        <f>(L0!C92+L0!E92)/2</f>
        <v>746</v>
      </c>
      <c r="D92" s="3">
        <f>(L0!D92-L0!B92+L0!E92-L0!C92)/4</f>
        <v>48</v>
      </c>
      <c r="E92" s="3">
        <f>(L0!F92+L0!H92)/2</f>
        <v>637</v>
      </c>
      <c r="F92" s="3">
        <f>(L0!G92+L0!I92)/2</f>
        <v>773</v>
      </c>
      <c r="I92">
        <f t="shared" si="8"/>
        <v>744.485554476</v>
      </c>
      <c r="J92">
        <f t="shared" si="9"/>
        <v>744.215756634504</v>
      </c>
      <c r="M92" s="4">
        <v>616</v>
      </c>
      <c r="N92" s="4">
        <v>728</v>
      </c>
      <c r="O92">
        <f t="shared" si="10"/>
        <v>726.761763264</v>
      </c>
      <c r="P92">
        <f t="shared" si="11"/>
        <v>723.336873507493</v>
      </c>
    </row>
    <row r="93" spans="1:16">
      <c r="A93">
        <v>3530</v>
      </c>
      <c r="B93" s="3">
        <f>(L0!B93+L0!D93)/2</f>
        <v>610.5</v>
      </c>
      <c r="C93" s="3">
        <f>(L0!C93+L0!E93)/2</f>
        <v>749.5</v>
      </c>
      <c r="D93" s="3">
        <f>(L0!D93-L0!B93+L0!E93-L0!C93)/4</f>
        <v>48.5</v>
      </c>
      <c r="E93" s="3">
        <f>(L0!F93+L0!H93)/2</f>
        <v>636</v>
      </c>
      <c r="F93" s="3">
        <f>(L0!G93+L0!I93)/2</f>
        <v>775</v>
      </c>
      <c r="I93">
        <f t="shared" si="8"/>
        <v>748.26713329275</v>
      </c>
      <c r="J93">
        <f t="shared" si="9"/>
        <v>747.979677251136</v>
      </c>
      <c r="M93" s="4">
        <v>612</v>
      </c>
      <c r="N93" s="4">
        <v>731</v>
      </c>
      <c r="O93">
        <f t="shared" si="10"/>
        <v>731.030602736</v>
      </c>
      <c r="P93">
        <f t="shared" si="11"/>
        <v>727.163902923896</v>
      </c>
    </row>
    <row r="94" spans="1:16">
      <c r="A94">
        <v>3550</v>
      </c>
      <c r="B94" s="3">
        <f>(L0!B94+L0!D94)/2</f>
        <v>606.5</v>
      </c>
      <c r="C94" s="3">
        <f>(L0!C94+L0!E94)/2</f>
        <v>753.5</v>
      </c>
      <c r="D94" s="3">
        <f>(L0!D94-L0!B94+L0!E94-L0!C94)/4</f>
        <v>48.5</v>
      </c>
      <c r="E94" s="3">
        <f>(L0!F94+L0!H94)/2</f>
        <v>635</v>
      </c>
      <c r="F94" s="3">
        <f>(L0!G94+L0!I94)/2</f>
        <v>777</v>
      </c>
      <c r="I94">
        <f t="shared" si="8"/>
        <v>752.61573158475</v>
      </c>
      <c r="J94">
        <f t="shared" si="9"/>
        <v>752.312379660287</v>
      </c>
      <c r="M94" s="4">
        <v>607</v>
      </c>
      <c r="N94" s="4">
        <v>734</v>
      </c>
      <c r="O94">
        <f t="shared" si="10"/>
        <v>736.402679931</v>
      </c>
      <c r="P94">
        <f t="shared" si="11"/>
        <v>732.056596370465</v>
      </c>
    </row>
    <row r="95" spans="1:16">
      <c r="A95">
        <v>3570</v>
      </c>
      <c r="B95" s="3">
        <f>(L0!B95+L0!D95)/2</f>
        <v>603</v>
      </c>
      <c r="C95" s="3">
        <f>(L0!C95+L0!E95)/2</f>
        <v>757</v>
      </c>
      <c r="D95" s="3">
        <f>(L0!D95-L0!B95+L0!E95-L0!C95)/4</f>
        <v>48</v>
      </c>
      <c r="E95" s="3">
        <f>(L0!F95+L0!H95)/2</f>
        <v>637</v>
      </c>
      <c r="F95" s="3">
        <f>(L0!G95+L0!I95)/2</f>
        <v>778</v>
      </c>
      <c r="I95">
        <f t="shared" si="8"/>
        <v>756.444199779</v>
      </c>
      <c r="J95">
        <f t="shared" si="9"/>
        <v>756.131253159058</v>
      </c>
      <c r="M95" s="4">
        <v>602</v>
      </c>
      <c r="N95" s="4">
        <v>738</v>
      </c>
      <c r="O95">
        <f t="shared" si="10"/>
        <v>741.814788076</v>
      </c>
      <c r="P95">
        <f t="shared" si="11"/>
        <v>737.090106135563</v>
      </c>
    </row>
    <row r="96" spans="1:16">
      <c r="A96">
        <v>3590</v>
      </c>
      <c r="B96" s="3">
        <f>(L0!B96+L0!D96)/2</f>
        <v>599.5</v>
      </c>
      <c r="C96" s="3">
        <f>(L0!C96+L0!E96)/2</f>
        <v>760.5</v>
      </c>
      <c r="D96" s="3">
        <f>(L0!D96-L0!B96+L0!E96-L0!C96)/4</f>
        <v>47.5</v>
      </c>
      <c r="E96" s="3">
        <f>(L0!F96+L0!H96)/2</f>
        <v>635</v>
      </c>
      <c r="F96" s="3">
        <f>(L0!G96+L0!I96)/2</f>
        <v>779</v>
      </c>
      <c r="I96">
        <f t="shared" si="8"/>
        <v>760.29454968275</v>
      </c>
      <c r="J96">
        <f t="shared" si="9"/>
        <v>759.976591172959</v>
      </c>
      <c r="M96" s="4">
        <v>598</v>
      </c>
      <c r="N96" s="4">
        <v>741</v>
      </c>
      <c r="O96">
        <f t="shared" si="10"/>
        <v>746.173296876</v>
      </c>
      <c r="P96">
        <f t="shared" si="11"/>
        <v>741.233603606854</v>
      </c>
    </row>
    <row r="97" spans="1:16">
      <c r="A97">
        <v>3610</v>
      </c>
      <c r="B97" s="3">
        <f>(L0!B97+L0!D97)/2</f>
        <v>596</v>
      </c>
      <c r="C97" s="3">
        <f>(L0!C97+L0!E97)/2</f>
        <v>763.5</v>
      </c>
      <c r="D97" s="3">
        <f>(L0!D97-L0!B97+L0!E97-L0!C97)/4</f>
        <v>46.75</v>
      </c>
      <c r="E97" s="3">
        <f>(L0!F97+L0!H97)/2</f>
        <v>631</v>
      </c>
      <c r="F97" s="3">
        <f>(L0!G97+L0!I97)/2</f>
        <v>781</v>
      </c>
      <c r="I97">
        <f t="shared" si="8"/>
        <v>764.166781296</v>
      </c>
      <c r="J97">
        <f t="shared" si="9"/>
        <v>763.848952882557</v>
      </c>
      <c r="M97" s="4">
        <v>594</v>
      </c>
      <c r="N97" s="4">
        <v>744</v>
      </c>
      <c r="O97">
        <f t="shared" si="10"/>
        <v>750.557425484</v>
      </c>
      <c r="P97">
        <f t="shared" si="11"/>
        <v>745.494336269323</v>
      </c>
    </row>
    <row r="98" spans="1:16">
      <c r="A98">
        <v>3630</v>
      </c>
      <c r="B98" s="3">
        <f>(L0!B98+L0!D98)/2</f>
        <v>592</v>
      </c>
      <c r="C98" s="3">
        <f>(L0!C98+L0!E98)/2</f>
        <v>768</v>
      </c>
      <c r="D98" s="3">
        <f>(L0!D98-L0!B98+L0!E98-L0!C98)/4</f>
        <v>47</v>
      </c>
      <c r="E98" s="3">
        <f>(L0!F98+L0!H98)/2</f>
        <v>630</v>
      </c>
      <c r="F98" s="3">
        <f>(L0!G98+L0!I98)/2</f>
        <v>783</v>
      </c>
      <c r="I98">
        <f t="shared" si="8"/>
        <v>768.618982784</v>
      </c>
      <c r="J98">
        <f t="shared" si="9"/>
        <v>768.308353683952</v>
      </c>
      <c r="M98" s="4">
        <v>589</v>
      </c>
      <c r="N98" s="4">
        <v>747</v>
      </c>
      <c r="O98">
        <f t="shared" si="10"/>
        <v>756.073614099</v>
      </c>
      <c r="P98">
        <f t="shared" si="11"/>
        <v>751.005386434726</v>
      </c>
    </row>
    <row r="99" spans="1:16">
      <c r="A99">
        <v>3650</v>
      </c>
      <c r="B99" s="3">
        <f>(L0!B99+L0!D99)/2</f>
        <v>589</v>
      </c>
      <c r="C99" s="3">
        <f>(L0!C99+L0!E99)/2</f>
        <v>771</v>
      </c>
      <c r="D99" s="3">
        <f>(L0!D99-L0!B99+L0!E99-L0!C99)/4</f>
        <v>47</v>
      </c>
      <c r="E99" s="3">
        <f>(L0!F99+L0!H99)/2</f>
        <v>627</v>
      </c>
      <c r="F99" s="3">
        <f>(L0!G99+L0!I99)/2</f>
        <v>784</v>
      </c>
      <c r="I99">
        <f t="shared" si="8"/>
        <v>771.976889651</v>
      </c>
      <c r="J99">
        <f t="shared" si="9"/>
        <v>771.67712384798</v>
      </c>
      <c r="M99" s="4">
        <v>586</v>
      </c>
      <c r="N99" s="4">
        <v>750</v>
      </c>
      <c r="O99">
        <f t="shared" si="10"/>
        <v>759.402542124</v>
      </c>
      <c r="P99">
        <f t="shared" si="11"/>
        <v>754.421305359992</v>
      </c>
    </row>
    <row r="100" spans="1:16">
      <c r="A100">
        <v>3670</v>
      </c>
      <c r="B100" s="3">
        <f>(L0!B100+L0!D100)/2</f>
        <v>585</v>
      </c>
      <c r="C100" s="3">
        <f>(L0!C100+L0!E100)/2</f>
        <v>775.5</v>
      </c>
      <c r="D100" s="3">
        <f>(L0!D100-L0!B100+L0!E100-L0!C100)/4</f>
        <v>46.75</v>
      </c>
      <c r="E100" s="3">
        <f>(L0!F100+L0!H100)/2</f>
        <v>625</v>
      </c>
      <c r="F100" s="3">
        <f>(L0!G100+L0!I100)/2</f>
        <v>783</v>
      </c>
      <c r="I100">
        <f t="shared" si="8"/>
        <v>776.479106475</v>
      </c>
      <c r="J100">
        <f t="shared" si="9"/>
        <v>776.201884112562</v>
      </c>
      <c r="M100" s="4">
        <v>582</v>
      </c>
      <c r="N100" s="4">
        <v>754</v>
      </c>
      <c r="O100">
        <f t="shared" si="10"/>
        <v>763.863530156</v>
      </c>
      <c r="P100">
        <f t="shared" si="11"/>
        <v>759.116356761335</v>
      </c>
    </row>
    <row r="101" spans="1:16">
      <c r="A101">
        <v>3690</v>
      </c>
      <c r="B101" s="3">
        <f>(L0!B101+L0!D101)/2</f>
        <v>582</v>
      </c>
      <c r="C101" s="3">
        <f>(L0!C101+L0!E101)/2</f>
        <v>779.5</v>
      </c>
      <c r="D101" s="3">
        <f>(L0!D101-L0!B101+L0!E101-L0!C101)/4</f>
        <v>46.75</v>
      </c>
      <c r="E101" s="3">
        <f>(L0!F101+L0!H101)/2</f>
        <v>622</v>
      </c>
      <c r="F101" s="3">
        <f>(L0!G101+L0!I101)/2</f>
        <v>785</v>
      </c>
      <c r="I101">
        <f t="shared" si="8"/>
        <v>779.874524844</v>
      </c>
      <c r="J101">
        <f t="shared" si="9"/>
        <v>779.620806142936</v>
      </c>
      <c r="M101" s="4">
        <v>577</v>
      </c>
      <c r="N101" s="4">
        <v>760</v>
      </c>
      <c r="O101">
        <f t="shared" si="10"/>
        <v>769.475793051</v>
      </c>
      <c r="P101">
        <f t="shared" si="11"/>
        <v>765.233026999655</v>
      </c>
    </row>
    <row r="102" spans="1:16">
      <c r="A102">
        <v>3710</v>
      </c>
      <c r="B102" s="3">
        <f>(L0!B102+L0!D102)/2</f>
        <v>578.5</v>
      </c>
      <c r="C102" s="3">
        <f>(L0!C102+L0!E102)/2</f>
        <v>783.5</v>
      </c>
      <c r="D102" s="3">
        <f>(L0!D102-L0!B102+L0!E102-L0!C102)/4</f>
        <v>46.5</v>
      </c>
      <c r="E102" s="3">
        <f>(L0!F102+L0!H102)/2</f>
        <v>620</v>
      </c>
      <c r="F102" s="3">
        <f>(L0!G102+L0!I102)/2</f>
        <v>785</v>
      </c>
      <c r="I102">
        <f t="shared" si="8"/>
        <v>783.85616500475</v>
      </c>
      <c r="J102">
        <f t="shared" si="9"/>
        <v>783.637667588737</v>
      </c>
      <c r="M102" s="4">
        <v>573</v>
      </c>
      <c r="N102" s="4">
        <v>765</v>
      </c>
      <c r="O102">
        <f t="shared" si="10"/>
        <v>773.994425651</v>
      </c>
      <c r="P102">
        <f t="shared" si="11"/>
        <v>770.344761295541</v>
      </c>
    </row>
    <row r="103" spans="1:16">
      <c r="A103">
        <v>3730</v>
      </c>
      <c r="B103" s="3">
        <f>(L0!B103+L0!D103)/2</f>
        <v>575</v>
      </c>
      <c r="C103" s="3">
        <f>(L0!C103+L0!E103)/2</f>
        <v>788</v>
      </c>
      <c r="D103" s="3">
        <f>(L0!D103-L0!B103+L0!E103-L0!C103)/4</f>
        <v>47</v>
      </c>
      <c r="E103" s="3">
        <f>(L0!F103+L0!H103)/2</f>
        <v>614</v>
      </c>
      <c r="F103" s="3">
        <f>(L0!G103+L0!I103)/2</f>
        <v>785</v>
      </c>
      <c r="I103">
        <f t="shared" si="8"/>
        <v>787.859686875</v>
      </c>
      <c r="J103">
        <f t="shared" si="9"/>
        <v>787.68551163867</v>
      </c>
      <c r="M103" s="4">
        <v>569</v>
      </c>
      <c r="N103" s="4">
        <v>772</v>
      </c>
      <c r="O103">
        <f t="shared" si="10"/>
        <v>778.538678059</v>
      </c>
      <c r="P103">
        <f t="shared" si="11"/>
        <v>775.669461578756</v>
      </c>
    </row>
    <row r="104" spans="1:16">
      <c r="A104">
        <v>3750</v>
      </c>
      <c r="B104" s="3">
        <f>(L0!B104+L0!D104)/2</f>
        <v>571</v>
      </c>
      <c r="C104" s="3">
        <f>(L0!C104+L0!E104)/2</f>
        <v>792</v>
      </c>
      <c r="D104" s="3">
        <f>(L0!D104-L0!B104+L0!E104-L0!C104)/4</f>
        <v>47</v>
      </c>
      <c r="E104" s="3">
        <f>(L0!F104+L0!H104)/2</f>
        <v>612</v>
      </c>
      <c r="F104" s="3">
        <f>(L0!G104+L0!I104)/2</f>
        <v>787</v>
      </c>
      <c r="I104">
        <f t="shared" si="8"/>
        <v>792.461934371</v>
      </c>
      <c r="J104">
        <f t="shared" si="9"/>
        <v>792.350540546949</v>
      </c>
      <c r="M104" s="4">
        <v>566</v>
      </c>
      <c r="N104" s="4">
        <v>777</v>
      </c>
      <c r="O104">
        <f t="shared" si="10"/>
        <v>781.963680364</v>
      </c>
      <c r="P104">
        <f t="shared" si="11"/>
        <v>779.813714029957</v>
      </c>
    </row>
    <row r="105" spans="1:16">
      <c r="A105">
        <v>3770</v>
      </c>
      <c r="B105" s="3">
        <f>(L0!B105+L0!D105)/2</f>
        <v>567.5</v>
      </c>
      <c r="C105" s="3">
        <f>(L0!C105+L0!E105)/2</f>
        <v>795.5</v>
      </c>
      <c r="D105" s="3">
        <f>(L0!D105-L0!B105+L0!E105-L0!C105)/4</f>
        <v>46.5</v>
      </c>
      <c r="E105" s="3">
        <f>(L0!F105+L0!H105)/2</f>
        <v>609</v>
      </c>
      <c r="F105" s="3">
        <f>(L0!G105+L0!I105)/2</f>
        <v>788</v>
      </c>
      <c r="I105">
        <f t="shared" si="8"/>
        <v>796.51234561875</v>
      </c>
      <c r="J105">
        <f t="shared" si="9"/>
        <v>796.467394555724</v>
      </c>
      <c r="M105" s="4">
        <v>562</v>
      </c>
      <c r="N105" s="4">
        <v>783</v>
      </c>
      <c r="O105">
        <f t="shared" si="10"/>
        <v>786.552767436</v>
      </c>
      <c r="P105">
        <f t="shared" si="11"/>
        <v>785.555628147768</v>
      </c>
    </row>
    <row r="106" spans="1:16">
      <c r="A106">
        <v>3790</v>
      </c>
      <c r="B106" s="3">
        <f>(L0!B106+L0!D106)/2</f>
        <v>564</v>
      </c>
      <c r="C106" s="3">
        <f>(L0!C106+L0!E106)/2</f>
        <v>800.5</v>
      </c>
      <c r="D106" s="3">
        <f>(L0!D106-L0!B106+L0!E106-L0!C106)/4</f>
        <v>46.75</v>
      </c>
      <c r="E106" s="3">
        <f>(L0!F106+L0!H106)/2</f>
        <v>604</v>
      </c>
      <c r="F106" s="3">
        <f>(L0!G106+L0!I106)/2</f>
        <v>789</v>
      </c>
      <c r="I106">
        <f t="shared" si="8"/>
        <v>800.584638576</v>
      </c>
      <c r="J106">
        <f t="shared" si="9"/>
        <v>800.61774469591</v>
      </c>
      <c r="M106" s="4">
        <v>558</v>
      </c>
      <c r="N106" s="4">
        <v>788</v>
      </c>
      <c r="O106">
        <f t="shared" si="10"/>
        <v>791.167474316</v>
      </c>
      <c r="P106">
        <f t="shared" si="11"/>
        <v>791.562892020333</v>
      </c>
    </row>
    <row r="107" spans="1:16">
      <c r="A107">
        <v>3810</v>
      </c>
      <c r="B107" s="3">
        <f>(L0!B107+L0!D107)/2</f>
        <v>560.5</v>
      </c>
      <c r="C107" s="3">
        <f>(L0!C107+L0!E107)/2</f>
        <v>805</v>
      </c>
      <c r="D107" s="3">
        <f>(L0!D107-L0!B107+L0!E107-L0!C107)/4</f>
        <v>46.75</v>
      </c>
      <c r="E107" s="3">
        <f>(L0!F107+L0!H107)/2</f>
        <v>600</v>
      </c>
      <c r="F107" s="3">
        <f>(L0!G107+L0!I107)/2</f>
        <v>789</v>
      </c>
      <c r="I107">
        <f t="shared" si="8"/>
        <v>804.67881324275</v>
      </c>
      <c r="J107">
        <f t="shared" si="9"/>
        <v>804.802457986381</v>
      </c>
      <c r="M107" s="4">
        <v>555</v>
      </c>
      <c r="N107" s="4">
        <v>792</v>
      </c>
      <c r="O107">
        <f t="shared" si="10"/>
        <v>794.645317475</v>
      </c>
      <c r="P107">
        <f t="shared" si="11"/>
        <v>796.254900057938</v>
      </c>
    </row>
    <row r="108" spans="1:16">
      <c r="A108">
        <v>3830</v>
      </c>
      <c r="B108" s="3">
        <f>(L0!B108+L0!D108)/2</f>
        <v>557</v>
      </c>
      <c r="C108" s="3">
        <f>(L0!C108+L0!E108)/2</f>
        <v>809</v>
      </c>
      <c r="D108" s="3">
        <f>(L0!D108-L0!B108+L0!E108-L0!C108)/4</f>
        <v>47</v>
      </c>
      <c r="E108" s="3">
        <f>(L0!F108+L0!H108)/2</f>
        <v>595</v>
      </c>
      <c r="F108" s="3">
        <f>(L0!G108+L0!I108)/2</f>
        <v>791</v>
      </c>
      <c r="I108">
        <f t="shared" si="8"/>
        <v>808.794869619</v>
      </c>
      <c r="J108">
        <f t="shared" si="9"/>
        <v>809.022434858762</v>
      </c>
      <c r="M108" s="4">
        <v>551</v>
      </c>
      <c r="N108" s="4">
        <v>797</v>
      </c>
      <c r="O108">
        <f t="shared" si="10"/>
        <v>799.304859019</v>
      </c>
      <c r="P108">
        <f t="shared" si="11"/>
        <v>802.776908870005</v>
      </c>
    </row>
    <row r="109" spans="1:16">
      <c r="A109">
        <v>3850</v>
      </c>
      <c r="B109" s="3">
        <f>(L0!B109+L0!D109)/2</f>
        <v>553.5</v>
      </c>
      <c r="C109" s="3">
        <f>(L0!C109+L0!E109)/2</f>
        <v>813</v>
      </c>
      <c r="D109" s="3">
        <f>(L0!D109-L0!B109+L0!E109-L0!C109)/4</f>
        <v>46.75</v>
      </c>
      <c r="E109" s="3">
        <f>(L0!F109+L0!H109)/2</f>
        <v>590</v>
      </c>
      <c r="F109" s="3">
        <f>(L0!G109+L0!I109)/2</f>
        <v>792</v>
      </c>
      <c r="I109">
        <f t="shared" si="8"/>
        <v>812.93280770475</v>
      </c>
      <c r="J109">
        <f t="shared" si="9"/>
        <v>813.27860970709</v>
      </c>
      <c r="M109" s="4">
        <v>554</v>
      </c>
      <c r="N109" s="4">
        <v>803</v>
      </c>
      <c r="O109">
        <f t="shared" si="10"/>
        <v>795.807801004</v>
      </c>
      <c r="P109">
        <f t="shared" si="11"/>
        <v>797.856215935285</v>
      </c>
    </row>
    <row r="110" spans="1:16">
      <c r="A110">
        <v>3870</v>
      </c>
      <c r="B110" s="3">
        <f>(L0!B110+L0!D110)/2</f>
        <v>549.5</v>
      </c>
      <c r="C110" s="3">
        <f>(L0!C110+L0!E110)/2</f>
        <v>817.5</v>
      </c>
      <c r="D110" s="3">
        <f>(L0!D110-L0!B110+L0!E110-L0!C110)/4</f>
        <v>46.5</v>
      </c>
      <c r="E110" s="3">
        <f>(L0!F110+L0!H110)/2</f>
        <v>585</v>
      </c>
      <c r="F110" s="3">
        <f>(L0!G110+L0!I110)/2</f>
        <v>793</v>
      </c>
      <c r="I110">
        <f t="shared" si="8"/>
        <v>817.68867373275</v>
      </c>
      <c r="J110">
        <f t="shared" si="9"/>
        <v>818.188378099604</v>
      </c>
      <c r="M110" s="4">
        <v>552</v>
      </c>
      <c r="N110" s="4">
        <v>810</v>
      </c>
      <c r="O110">
        <f t="shared" si="10"/>
        <v>798.137571776</v>
      </c>
      <c r="P110">
        <f t="shared" si="11"/>
        <v>801.116871625224</v>
      </c>
    </row>
    <row r="111" spans="1:16">
      <c r="A111">
        <v>3890</v>
      </c>
      <c r="B111" s="3">
        <f>(L0!B111+L0!D111)/2</f>
        <v>546.5</v>
      </c>
      <c r="C111" s="3">
        <f>(L0!C111+L0!E111)/2</f>
        <v>822</v>
      </c>
      <c r="D111" s="3">
        <f>(L0!D111-L0!B111+L0!E111-L0!C111)/4</f>
        <v>47.25</v>
      </c>
      <c r="E111" s="3">
        <f>(L0!F111+L0!H111)/2</f>
        <v>578</v>
      </c>
      <c r="F111" s="3">
        <f>(L0!G111+L0!I111)/2</f>
        <v>795</v>
      </c>
      <c r="I111">
        <f t="shared" si="8"/>
        <v>821.27432900475</v>
      </c>
      <c r="J111">
        <f t="shared" si="9"/>
        <v>821.903464017907</v>
      </c>
      <c r="M111" s="4">
        <v>548</v>
      </c>
      <c r="N111" s="4">
        <v>812</v>
      </c>
      <c r="O111">
        <f t="shared" si="10"/>
        <v>802.816328176</v>
      </c>
      <c r="P111">
        <f t="shared" si="11"/>
        <v>807.880119814307</v>
      </c>
    </row>
    <row r="112" spans="1:16">
      <c r="A112">
        <v>3910</v>
      </c>
      <c r="B112" s="3">
        <f>(L0!B112+L0!D112)/2</f>
        <v>543</v>
      </c>
      <c r="C112" s="3">
        <f>(L0!C112+L0!E112)/2</f>
        <v>826.5</v>
      </c>
      <c r="D112" s="3">
        <f>(L0!D112-L0!B112+L0!E112-L0!C112)/4</f>
        <v>47.25</v>
      </c>
      <c r="E112" s="3">
        <f>(L0!F112+L0!H112)/2</f>
        <v>571</v>
      </c>
      <c r="F112" s="3">
        <f>(L0!G112+L0!I112)/2</f>
        <v>797</v>
      </c>
      <c r="I112">
        <f t="shared" si="8"/>
        <v>825.477912219</v>
      </c>
      <c r="J112">
        <f t="shared" si="9"/>
        <v>826.274187027673</v>
      </c>
      <c r="M112" s="4">
        <v>544</v>
      </c>
      <c r="N112" s="4">
        <v>818</v>
      </c>
      <c r="O112">
        <f t="shared" si="10"/>
        <v>807.520704384</v>
      </c>
      <c r="P112">
        <f t="shared" si="11"/>
        <v>814.985236632982</v>
      </c>
    </row>
    <row r="113" spans="4:4">
      <c r="D113" s="3">
        <f>AVERAGE(D2:D112)</f>
        <v>47.6644144144144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zoomScale="131" zoomScaleNormal="131" workbookViewId="0">
      <selection activeCell="C2" sqref="C2"/>
    </sheetView>
  </sheetViews>
  <sheetFormatPr defaultColWidth="9" defaultRowHeight="14.4" outlineLevelCol="5"/>
  <sheetData>
    <row r="1" spans="1:6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>
      <c r="A2">
        <v>1710</v>
      </c>
      <c r="B2" s="3">
        <f>'L1'!E2-'L1'!B2</f>
        <v>-29</v>
      </c>
      <c r="C2" s="3">
        <f>-('L1'!F2-'L1'!C2)</f>
        <v>1.5</v>
      </c>
      <c r="D2" s="3">
        <f t="shared" ref="D2:D65" si="0">SQRT(47.44*47.44-B2*B2-C2*C2)</f>
        <v>37.5140453697012</v>
      </c>
      <c r="E2" s="3">
        <f t="shared" ref="E2:E65" si="1">COS(3.14/9*((A2-25)/20))*47.44</f>
        <v>-20.6877747637451</v>
      </c>
      <c r="F2" s="3">
        <f t="shared" ref="F2:F65" si="2">SIN(3.14/9*((A2-25)/20))*47.44</f>
        <v>-42.6915632804018</v>
      </c>
    </row>
    <row r="3" spans="1:6">
      <c r="A3">
        <v>1730</v>
      </c>
      <c r="B3" s="3">
        <f>'L1'!E3-'L1'!B3</f>
        <v>-27</v>
      </c>
      <c r="C3" s="3">
        <f>-('L1'!F3-'L1'!C3)</f>
        <v>0</v>
      </c>
      <c r="D3" s="3">
        <f t="shared" si="0"/>
        <v>39.0070967901996</v>
      </c>
      <c r="E3" s="3">
        <f t="shared" si="1"/>
        <v>-4.84712588889456</v>
      </c>
      <c r="F3" s="3">
        <f t="shared" si="2"/>
        <v>-47.1917256583949</v>
      </c>
    </row>
    <row r="4" spans="1:6">
      <c r="A4">
        <v>1750</v>
      </c>
      <c r="B4" s="3">
        <f>'L1'!E4-'L1'!B4</f>
        <v>-26.5</v>
      </c>
      <c r="C4" s="3">
        <f>-('L1'!F4-'L1'!C4)</f>
        <v>-4</v>
      </c>
      <c r="D4" s="3">
        <f t="shared" si="0"/>
        <v>39.1446496982666</v>
      </c>
      <c r="E4" s="3">
        <f t="shared" si="1"/>
        <v>11.5775713079727</v>
      </c>
      <c r="F4" s="3">
        <f t="shared" si="2"/>
        <v>-46.0055805594148</v>
      </c>
    </row>
    <row r="5" spans="1:6">
      <c r="A5">
        <v>1770</v>
      </c>
      <c r="B5" s="3">
        <f>'L1'!E5-'L1'!B5</f>
        <v>-26.5</v>
      </c>
      <c r="C5" s="3">
        <f>-('L1'!F5-'L1'!C5)</f>
        <v>-12</v>
      </c>
      <c r="D5" s="3">
        <f t="shared" si="0"/>
        <v>37.4740390136959</v>
      </c>
      <c r="E5" s="3">
        <f t="shared" si="1"/>
        <v>26.6072436487823</v>
      </c>
      <c r="F5" s="3">
        <f t="shared" si="2"/>
        <v>-39.2760510414977</v>
      </c>
    </row>
    <row r="6" spans="1:6">
      <c r="A6">
        <v>1790</v>
      </c>
      <c r="B6" s="3">
        <f>'L1'!E6-'L1'!B6</f>
        <v>-25</v>
      </c>
      <c r="C6" s="3">
        <f>-('L1'!F6-'L1'!C6)</f>
        <v>-13.5</v>
      </c>
      <c r="D6" s="3">
        <f t="shared" si="0"/>
        <v>37.9908357370564</v>
      </c>
      <c r="E6" s="3">
        <f t="shared" si="1"/>
        <v>38.4309097164389</v>
      </c>
      <c r="F6" s="3">
        <f t="shared" si="2"/>
        <v>-27.8140032783294</v>
      </c>
    </row>
    <row r="7" spans="1:6">
      <c r="A7">
        <v>1810</v>
      </c>
      <c r="B7" s="3">
        <f>'L1'!E7-'L1'!B7</f>
        <v>-23</v>
      </c>
      <c r="C7" s="3">
        <f>-('L1'!F7-'L1'!C7)</f>
        <v>-17</v>
      </c>
      <c r="D7" s="3">
        <f t="shared" si="0"/>
        <v>37.8490898173259</v>
      </c>
      <c r="E7" s="3">
        <f t="shared" si="1"/>
        <v>45.6238917771294</v>
      </c>
      <c r="F7" s="3">
        <f t="shared" si="2"/>
        <v>-13.0005422621051</v>
      </c>
    </row>
    <row r="8" spans="1:6">
      <c r="A8">
        <v>1830</v>
      </c>
      <c r="B8" s="3">
        <f>'L1'!E8-'L1'!B8</f>
        <v>-21.5</v>
      </c>
      <c r="C8" s="3">
        <f>-('L1'!F8-'L1'!C8)</f>
        <v>-20.5</v>
      </c>
      <c r="D8" s="3">
        <f t="shared" si="0"/>
        <v>36.9872085997308</v>
      </c>
      <c r="E8" s="3">
        <f t="shared" si="1"/>
        <v>47.3194805274153</v>
      </c>
      <c r="F8" s="3">
        <f t="shared" si="2"/>
        <v>3.37940270100506</v>
      </c>
    </row>
    <row r="9" spans="1:6">
      <c r="A9">
        <v>1850</v>
      </c>
      <c r="B9" s="3">
        <f>'L1'!E9-'L1'!B9</f>
        <v>-18.5</v>
      </c>
      <c r="C9" s="3">
        <f>-('L1'!F9-'L1'!C9)</f>
        <v>-23.5</v>
      </c>
      <c r="D9" s="3">
        <f t="shared" si="0"/>
        <v>36.8246330599505</v>
      </c>
      <c r="E9" s="3">
        <f t="shared" si="1"/>
        <v>43.3133681388775</v>
      </c>
      <c r="F9" s="3">
        <f t="shared" si="2"/>
        <v>19.352150796903</v>
      </c>
    </row>
    <row r="10" spans="1:6">
      <c r="A10">
        <v>1870</v>
      </c>
      <c r="B10" s="3">
        <f>'L1'!E10-'L1'!B10</f>
        <v>-15.5</v>
      </c>
      <c r="C10" s="3">
        <f>-('L1'!F10-'L1'!C10)</f>
        <v>-26.5</v>
      </c>
      <c r="D10" s="3">
        <f t="shared" si="0"/>
        <v>36.1670236541521</v>
      </c>
      <c r="E10" s="3">
        <f t="shared" si="1"/>
        <v>34.0882660722798</v>
      </c>
      <c r="F10" s="3">
        <f t="shared" si="2"/>
        <v>32.9930858845525</v>
      </c>
    </row>
    <row r="11" spans="1:6">
      <c r="A11">
        <v>1890</v>
      </c>
      <c r="B11" s="3">
        <f>'L1'!E11-'L1'!B11</f>
        <v>-13.5</v>
      </c>
      <c r="C11" s="3">
        <f>-('L1'!F11-'L1'!C11)</f>
        <v>-27.5</v>
      </c>
      <c r="D11" s="3">
        <f t="shared" si="0"/>
        <v>36.2222804362177</v>
      </c>
      <c r="E11" s="3">
        <f t="shared" si="1"/>
        <v>20.7557413687781</v>
      </c>
      <c r="F11" s="3">
        <f t="shared" si="2"/>
        <v>42.6585606910546</v>
      </c>
    </row>
    <row r="12" spans="1:6">
      <c r="A12">
        <v>1910</v>
      </c>
      <c r="B12" s="3">
        <f>'L1'!E12-'L1'!B12</f>
        <v>-11.5</v>
      </c>
      <c r="C12" s="3">
        <f>-('L1'!F12-'L1'!C12)</f>
        <v>-29</v>
      </c>
      <c r="D12" s="3">
        <f t="shared" si="0"/>
        <v>35.7393844378999</v>
      </c>
      <c r="E12" s="3">
        <f t="shared" si="1"/>
        <v>4.92227978092198</v>
      </c>
      <c r="F12" s="3">
        <f t="shared" si="2"/>
        <v>47.1839460172454</v>
      </c>
    </row>
    <row r="13" spans="1:6">
      <c r="A13">
        <v>1930</v>
      </c>
      <c r="B13" s="3">
        <f>'L1'!E13-'L1'!B13</f>
        <v>-9</v>
      </c>
      <c r="C13" s="3">
        <f>-('L1'!F13-'L1'!C13)</f>
        <v>-28</v>
      </c>
      <c r="D13" s="3">
        <f t="shared" si="0"/>
        <v>37.2230251323022</v>
      </c>
      <c r="E13" s="3">
        <f t="shared" si="1"/>
        <v>-11.5042857024052</v>
      </c>
      <c r="F13" s="3">
        <f t="shared" si="2"/>
        <v>46.0239612645134</v>
      </c>
    </row>
    <row r="14" spans="1:6">
      <c r="A14">
        <v>1950</v>
      </c>
      <c r="B14" s="3">
        <f>'L1'!E14-'L1'!B14</f>
        <v>-6.5</v>
      </c>
      <c r="C14" s="3">
        <f>-('L1'!F14-'L1'!C14)</f>
        <v>-32</v>
      </c>
      <c r="D14" s="3">
        <f t="shared" si="0"/>
        <v>34.4137123832928</v>
      </c>
      <c r="E14" s="3">
        <f t="shared" si="1"/>
        <v>-26.5446567863084</v>
      </c>
      <c r="F14" s="3">
        <f t="shared" si="2"/>
        <v>39.3183773329608</v>
      </c>
    </row>
    <row r="15" spans="1:6">
      <c r="A15">
        <v>1970</v>
      </c>
      <c r="B15" s="3">
        <f>'L1'!E15-'L1'!B15</f>
        <v>-2.5</v>
      </c>
      <c r="C15" s="3">
        <f>-('L1'!F15-'L1'!C15)</f>
        <v>-31</v>
      </c>
      <c r="D15" s="3">
        <f t="shared" si="0"/>
        <v>35.8232271019795</v>
      </c>
      <c r="E15" s="3">
        <f t="shared" si="1"/>
        <v>-38.3865629221342</v>
      </c>
      <c r="F15" s="3">
        <f t="shared" si="2"/>
        <v>27.875175103038</v>
      </c>
    </row>
    <row r="16" spans="1:6">
      <c r="A16">
        <v>1990</v>
      </c>
      <c r="B16" s="3">
        <f>'L1'!E16-'L1'!B16</f>
        <v>0</v>
      </c>
      <c r="C16" s="3">
        <f>-('L1'!F16-'L1'!C16)</f>
        <v>-32</v>
      </c>
      <c r="D16" s="3">
        <f t="shared" si="0"/>
        <v>35.0221872532256</v>
      </c>
      <c r="E16" s="3">
        <f t="shared" si="1"/>
        <v>-45.6031285620543</v>
      </c>
      <c r="F16" s="3">
        <f t="shared" si="2"/>
        <v>13.0731887981757</v>
      </c>
    </row>
    <row r="17" spans="1:6">
      <c r="A17">
        <v>2010</v>
      </c>
      <c r="B17" s="3">
        <f>'L1'!E17-'L1'!B17</f>
        <v>4.5</v>
      </c>
      <c r="C17" s="3">
        <f>-('L1'!F17-'L1'!C17)</f>
        <v>-32.5</v>
      </c>
      <c r="D17" s="3">
        <f t="shared" si="0"/>
        <v>34.2644655583594</v>
      </c>
      <c r="E17" s="3">
        <f t="shared" si="1"/>
        <v>-47.3248027289891</v>
      </c>
      <c r="F17" s="3">
        <f t="shared" si="2"/>
        <v>-3.30403490633291</v>
      </c>
    </row>
    <row r="18" spans="1:6">
      <c r="A18">
        <v>2030</v>
      </c>
      <c r="B18" s="3">
        <f>'L1'!E18-'L1'!B18</f>
        <v>8</v>
      </c>
      <c r="C18" s="3">
        <f>-('L1'!F18-'L1'!C18)</f>
        <v>-32.5</v>
      </c>
      <c r="D18" s="3">
        <f t="shared" si="0"/>
        <v>33.6199881023179</v>
      </c>
      <c r="E18" s="3">
        <f t="shared" si="1"/>
        <v>-43.3441344651324</v>
      </c>
      <c r="F18" s="3">
        <f t="shared" si="2"/>
        <v>-19.283143091014</v>
      </c>
    </row>
    <row r="19" spans="1:6">
      <c r="A19">
        <v>2050</v>
      </c>
      <c r="B19" s="3">
        <f>'L1'!E19-'L1'!B19</f>
        <v>10.5</v>
      </c>
      <c r="C19" s="3">
        <f>-('L1'!F19-'L1'!C19)</f>
        <v>-31.5</v>
      </c>
      <c r="D19" s="3">
        <f t="shared" si="0"/>
        <v>33.8829396599528</v>
      </c>
      <c r="E19" s="3">
        <f t="shared" si="1"/>
        <v>-34.1407693735286</v>
      </c>
      <c r="F19" s="3">
        <f t="shared" si="2"/>
        <v>-32.9387532639523</v>
      </c>
    </row>
    <row r="20" spans="1:6">
      <c r="A20">
        <v>2070</v>
      </c>
      <c r="B20" s="3">
        <f>'L1'!E20-'L1'!B20</f>
        <v>16</v>
      </c>
      <c r="C20" s="3">
        <f>-('L1'!F20-'L1'!C20)</f>
        <v>-33</v>
      </c>
      <c r="D20" s="3">
        <f t="shared" si="0"/>
        <v>30.0924176496339</v>
      </c>
      <c r="E20" s="3">
        <f t="shared" si="1"/>
        <v>-20.8236553259407</v>
      </c>
      <c r="F20" s="3">
        <f t="shared" si="2"/>
        <v>-42.6254498963521</v>
      </c>
    </row>
    <row r="21" spans="1:6">
      <c r="A21">
        <v>2090</v>
      </c>
      <c r="B21" s="3">
        <f>'L1'!E21-'L1'!B21</f>
        <v>19.5</v>
      </c>
      <c r="C21" s="3">
        <f>-('L1'!F21-'L1'!C21)</f>
        <v>-30.5</v>
      </c>
      <c r="D21" s="3">
        <f t="shared" si="0"/>
        <v>30.6602935406692</v>
      </c>
      <c r="E21" s="3">
        <f t="shared" si="1"/>
        <v>-4.99742118736579</v>
      </c>
      <c r="F21" s="3">
        <f t="shared" si="2"/>
        <v>-47.1760466918972</v>
      </c>
    </row>
    <row r="22" spans="1:6">
      <c r="A22">
        <v>2110</v>
      </c>
      <c r="B22" s="3">
        <f>'L1'!E22-'L1'!B22</f>
        <v>22.5</v>
      </c>
      <c r="C22" s="3">
        <f>-('L1'!F22-'L1'!C22)</f>
        <v>-29</v>
      </c>
      <c r="D22" s="3">
        <f t="shared" si="0"/>
        <v>30.0550095657945</v>
      </c>
      <c r="E22" s="3">
        <f t="shared" si="1"/>
        <v>11.4309709157003</v>
      </c>
      <c r="F22" s="3">
        <f t="shared" si="2"/>
        <v>-46.0422252277669</v>
      </c>
    </row>
    <row r="23" spans="1:6">
      <c r="A23">
        <v>2130</v>
      </c>
      <c r="B23" s="3">
        <f>'L1'!E23-'L1'!B23</f>
        <v>26.5</v>
      </c>
      <c r="C23" s="3">
        <f>-('L1'!F23-'L1'!C23)</f>
        <v>-26.5</v>
      </c>
      <c r="D23" s="3">
        <f t="shared" si="0"/>
        <v>29.0870005328841</v>
      </c>
      <c r="E23" s="3">
        <f t="shared" si="1"/>
        <v>26.4820025921204</v>
      </c>
      <c r="F23" s="3">
        <f t="shared" si="2"/>
        <v>-39.3606038915935</v>
      </c>
    </row>
    <row r="24" spans="1:6">
      <c r="A24">
        <v>2150</v>
      </c>
      <c r="B24" s="3">
        <f>'L1'!E24-'L1'!B24</f>
        <v>29.5</v>
      </c>
      <c r="C24" s="3">
        <f>-('L1'!F24-'L1'!C24)</f>
        <v>-26</v>
      </c>
      <c r="D24" s="3">
        <f t="shared" si="0"/>
        <v>26.538718883925</v>
      </c>
      <c r="E24" s="3">
        <f t="shared" si="1"/>
        <v>38.3421187585882</v>
      </c>
      <c r="F24" s="3">
        <f t="shared" si="2"/>
        <v>-27.9362762211129</v>
      </c>
    </row>
    <row r="25" spans="1:6">
      <c r="A25">
        <v>2170</v>
      </c>
      <c r="B25" s="3">
        <f>'L1'!E25-'L1'!B25</f>
        <v>32</v>
      </c>
      <c r="C25" s="3">
        <f>-('L1'!F25-'L1'!C25)</f>
        <v>-23.5</v>
      </c>
      <c r="D25" s="3">
        <f t="shared" si="0"/>
        <v>25.9673564307189</v>
      </c>
      <c r="E25" s="3">
        <f t="shared" si="1"/>
        <v>45.5822496725951</v>
      </c>
      <c r="F25" s="3">
        <f t="shared" si="2"/>
        <v>-13.1458021735156</v>
      </c>
    </row>
    <row r="26" spans="1:6">
      <c r="A26">
        <v>2190</v>
      </c>
      <c r="B26" s="3">
        <f>'L1'!E26-'L1'!B26</f>
        <v>34.5</v>
      </c>
      <c r="C26" s="3">
        <f>-('L1'!F26-'L1'!C26)</f>
        <v>-21.5</v>
      </c>
      <c r="D26" s="3">
        <f t="shared" si="0"/>
        <v>24.4551344302173</v>
      </c>
      <c r="E26" s="3">
        <f t="shared" si="1"/>
        <v>47.3300048890748</v>
      </c>
      <c r="F26" s="3">
        <f t="shared" si="2"/>
        <v>3.22865873082796</v>
      </c>
    </row>
    <row r="27" spans="1:6">
      <c r="A27">
        <v>2210</v>
      </c>
      <c r="B27" s="3">
        <f>'L1'!E27-'L1'!B27</f>
        <v>36.5</v>
      </c>
      <c r="C27" s="3">
        <f>-('L1'!F27-'L1'!C27)</f>
        <v>-19.5</v>
      </c>
      <c r="D27" s="3">
        <f t="shared" si="0"/>
        <v>23.1959824107538</v>
      </c>
      <c r="E27" s="3">
        <f t="shared" si="1"/>
        <v>43.3747908470433</v>
      </c>
      <c r="F27" s="3">
        <f t="shared" si="2"/>
        <v>19.2140864725662</v>
      </c>
    </row>
    <row r="28" spans="1:6">
      <c r="A28">
        <v>2230</v>
      </c>
      <c r="B28" s="3">
        <f>'L1'!E28-'L1'!B28</f>
        <v>36</v>
      </c>
      <c r="C28" s="3">
        <f>-('L1'!F28-'L1'!C28)</f>
        <v>-18</v>
      </c>
      <c r="D28" s="3">
        <f t="shared" si="0"/>
        <v>25.1108263504011</v>
      </c>
      <c r="E28" s="3">
        <f t="shared" si="1"/>
        <v>34.1931860751823</v>
      </c>
      <c r="F28" s="3">
        <f t="shared" si="2"/>
        <v>32.8843370927249</v>
      </c>
    </row>
    <row r="29" spans="1:6">
      <c r="A29">
        <v>2250</v>
      </c>
      <c r="B29" s="3">
        <f>'L1'!E29-'L1'!B29</f>
        <v>38</v>
      </c>
      <c r="C29" s="3">
        <f>-('L1'!F29-'L1'!C29)</f>
        <v>-14.5</v>
      </c>
      <c r="D29" s="3">
        <f t="shared" si="0"/>
        <v>24.4193284100935</v>
      </c>
      <c r="E29" s="3">
        <f t="shared" si="1"/>
        <v>20.8915164629661</v>
      </c>
      <c r="F29" s="3">
        <f t="shared" si="2"/>
        <v>42.5922309802811</v>
      </c>
    </row>
    <row r="30" spans="1:6">
      <c r="A30">
        <v>2270</v>
      </c>
      <c r="B30" s="3">
        <f>'L1'!E30-'L1'!B30</f>
        <v>39</v>
      </c>
      <c r="C30" s="3">
        <f>-('L1'!F30-'L1'!C30)</f>
        <v>-10</v>
      </c>
      <c r="D30" s="3">
        <f t="shared" si="0"/>
        <v>25.0909067193675</v>
      </c>
      <c r="E30" s="3">
        <f t="shared" si="1"/>
        <v>5.07254991762627</v>
      </c>
      <c r="F30" s="3">
        <f t="shared" si="2"/>
        <v>47.1680277023874</v>
      </c>
    </row>
    <row r="31" spans="1:6">
      <c r="A31">
        <v>2290</v>
      </c>
      <c r="B31" s="3">
        <f>'L1'!E31-'L1'!B31</f>
        <v>40.5</v>
      </c>
      <c r="C31" s="3">
        <f>-('L1'!F31-'L1'!C31)</f>
        <v>-7.5</v>
      </c>
      <c r="D31" s="3">
        <f t="shared" si="0"/>
        <v>23.5383431872339</v>
      </c>
      <c r="E31" s="3">
        <f t="shared" si="1"/>
        <v>-11.3576271338242</v>
      </c>
      <c r="F31" s="3">
        <f t="shared" si="2"/>
        <v>46.0603724028478</v>
      </c>
    </row>
    <row r="32" spans="1:6">
      <c r="A32">
        <v>2310</v>
      </c>
      <c r="B32" s="3">
        <f>'L1'!E32-'L1'!B32</f>
        <v>41</v>
      </c>
      <c r="C32" s="3">
        <f>-('L1'!F32-'L1'!C32)</f>
        <v>-5</v>
      </c>
      <c r="D32" s="3">
        <f t="shared" si="0"/>
        <v>23.3356722637253</v>
      </c>
      <c r="E32" s="3">
        <f t="shared" si="1"/>
        <v>-26.4192812251432</v>
      </c>
      <c r="F32" s="3">
        <f t="shared" si="2"/>
        <v>39.4027306102863</v>
      </c>
    </row>
    <row r="33" spans="1:6">
      <c r="A33">
        <v>2330</v>
      </c>
      <c r="B33" s="3">
        <f>'L1'!E33-'L1'!B33</f>
        <v>42.5</v>
      </c>
      <c r="C33" s="3">
        <f>-('L1'!F33-'L1'!C33)</f>
        <v>-1</v>
      </c>
      <c r="D33" s="3">
        <f t="shared" si="0"/>
        <v>21.05477618024</v>
      </c>
      <c r="E33" s="3">
        <f t="shared" si="1"/>
        <v>-38.2975773385356</v>
      </c>
      <c r="F33" s="3">
        <f t="shared" si="2"/>
        <v>27.9973064775683</v>
      </c>
    </row>
    <row r="34" spans="1:6">
      <c r="A34">
        <v>2350</v>
      </c>
      <c r="B34" s="3">
        <f>'L1'!E34-'L1'!B34</f>
        <v>41.5</v>
      </c>
      <c r="C34" s="3">
        <f>-('L1'!F34-'L1'!C34)</f>
        <v>3</v>
      </c>
      <c r="D34" s="3">
        <f t="shared" si="0"/>
        <v>22.7882338060675</v>
      </c>
      <c r="E34" s="3">
        <f t="shared" si="1"/>
        <v>-45.5612551617119</v>
      </c>
      <c r="F34" s="3">
        <f t="shared" si="2"/>
        <v>13.2183822039378</v>
      </c>
    </row>
    <row r="35" spans="1:6">
      <c r="A35">
        <v>2370</v>
      </c>
      <c r="B35" s="3">
        <f>'L1'!E35-'L1'!B35</f>
        <v>40</v>
      </c>
      <c r="C35" s="3">
        <f>-('L1'!F35-'L1'!C35)</f>
        <v>8</v>
      </c>
      <c r="D35" s="3">
        <f t="shared" si="0"/>
        <v>24.2188686771286</v>
      </c>
      <c r="E35" s="3">
        <f t="shared" si="1"/>
        <v>-47.3350869944771</v>
      </c>
      <c r="F35" s="3">
        <f t="shared" si="2"/>
        <v>-3.15327436568511</v>
      </c>
    </row>
    <row r="36" spans="1:6">
      <c r="A36">
        <v>2390</v>
      </c>
      <c r="B36" s="3">
        <f>'L1'!E36-'L1'!B36</f>
        <v>41</v>
      </c>
      <c r="C36" s="3">
        <f>-('L1'!F36-'L1'!C36)</f>
        <v>8</v>
      </c>
      <c r="D36" s="3">
        <f t="shared" si="0"/>
        <v>22.4845191187181</v>
      </c>
      <c r="E36" s="3">
        <f t="shared" si="1"/>
        <v>-43.4053372068487</v>
      </c>
      <c r="F36" s="3">
        <f t="shared" si="2"/>
        <v>-19.144981116725</v>
      </c>
    </row>
    <row r="37" spans="1:6">
      <c r="A37">
        <v>2410</v>
      </c>
      <c r="B37" s="3">
        <f>'L1'!E37-'L1'!B37</f>
        <v>40.5</v>
      </c>
      <c r="C37" s="3">
        <f>-('L1'!F37-'L1'!C37)</f>
        <v>12</v>
      </c>
      <c r="D37" s="3">
        <f t="shared" si="0"/>
        <v>21.5940639991642</v>
      </c>
      <c r="E37" s="3">
        <f t="shared" si="1"/>
        <v>-34.2455160442835</v>
      </c>
      <c r="F37" s="3">
        <f t="shared" si="2"/>
        <v>-32.8298375088991</v>
      </c>
    </row>
    <row r="38" spans="1:6">
      <c r="A38">
        <v>2430</v>
      </c>
      <c r="B38" s="3">
        <f>'L1'!E38-'L1'!B38</f>
        <v>40.5</v>
      </c>
      <c r="C38" s="3">
        <f>-('L1'!F38-'L1'!C38)</f>
        <v>15</v>
      </c>
      <c r="D38" s="3">
        <f t="shared" si="0"/>
        <v>19.6291517901309</v>
      </c>
      <c r="E38" s="3">
        <f t="shared" si="1"/>
        <v>-20.9593246077215</v>
      </c>
      <c r="F38" s="3">
        <f t="shared" si="2"/>
        <v>-42.558904027103</v>
      </c>
    </row>
    <row r="39" spans="1:6">
      <c r="A39">
        <v>2450</v>
      </c>
      <c r="B39" s="3">
        <f>'L1'!E39-'L1'!B39</f>
        <v>38.5</v>
      </c>
      <c r="C39" s="3">
        <f>-('L1'!F39-'L1'!C39)</f>
        <v>18.5</v>
      </c>
      <c r="D39" s="3">
        <f t="shared" si="0"/>
        <v>20.6410658639519</v>
      </c>
      <c r="E39" s="3">
        <f t="shared" si="1"/>
        <v>-5.14766578113603</v>
      </c>
      <c r="F39" s="3">
        <f t="shared" si="2"/>
        <v>-47.1598890690566</v>
      </c>
    </row>
    <row r="40" spans="1:6">
      <c r="A40">
        <v>2470</v>
      </c>
      <c r="B40" s="3">
        <f>'L1'!E40-'L1'!B40</f>
        <v>38</v>
      </c>
      <c r="C40" s="3">
        <f>-('L1'!F40-'L1'!C40)</f>
        <v>21</v>
      </c>
      <c r="D40" s="3">
        <f t="shared" si="0"/>
        <v>19.1194560592084</v>
      </c>
      <c r="E40" s="3">
        <f t="shared" si="1"/>
        <v>11.2842545428166</v>
      </c>
      <c r="F40" s="3">
        <f t="shared" si="2"/>
        <v>-46.078402743725</v>
      </c>
    </row>
    <row r="41" spans="1:6">
      <c r="A41">
        <v>2490</v>
      </c>
      <c r="B41" s="3">
        <f>'L1'!E41-'L1'!B41</f>
        <v>35</v>
      </c>
      <c r="C41" s="3">
        <f>-('L1'!F41-'L1'!C41)</f>
        <v>24</v>
      </c>
      <c r="D41" s="3">
        <f t="shared" si="0"/>
        <v>21.2026790760036</v>
      </c>
      <c r="E41" s="3">
        <f t="shared" si="1"/>
        <v>26.3564928444724</v>
      </c>
      <c r="F41" s="3">
        <f t="shared" si="2"/>
        <v>-39.4447573821829</v>
      </c>
    </row>
    <row r="42" spans="1:6">
      <c r="A42">
        <v>2510</v>
      </c>
      <c r="B42" s="3">
        <f>'L1'!E42-'L1'!B42</f>
        <v>34.5</v>
      </c>
      <c r="C42" s="3">
        <f>-('L1'!F42-'L1'!C42)</f>
        <v>23.5</v>
      </c>
      <c r="D42" s="3">
        <f t="shared" si="0"/>
        <v>22.5400443655286</v>
      </c>
      <c r="E42" s="3">
        <f t="shared" si="1"/>
        <v>38.2529387749577</v>
      </c>
      <c r="F42" s="3">
        <f t="shared" si="2"/>
        <v>-28.0582657175981</v>
      </c>
    </row>
    <row r="43" spans="1:6">
      <c r="A43">
        <v>2530</v>
      </c>
      <c r="B43" s="3">
        <f>'L1'!E43-'L1'!B43</f>
        <v>30</v>
      </c>
      <c r="C43" s="3">
        <f>-('L1'!F43-'L1'!C43)</f>
        <v>29.5</v>
      </c>
      <c r="D43" s="3">
        <f t="shared" si="0"/>
        <v>21.9158298953063</v>
      </c>
      <c r="E43" s="3">
        <f t="shared" si="1"/>
        <v>45.5401450826584</v>
      </c>
      <c r="F43" s="3">
        <f t="shared" si="2"/>
        <v>-13.2909287053398</v>
      </c>
    </row>
    <row r="44" spans="1:6">
      <c r="A44">
        <v>2550</v>
      </c>
      <c r="B44" s="3">
        <f>'L1'!E44-'L1'!B44</f>
        <v>29.5</v>
      </c>
      <c r="C44" s="3">
        <f>-('L1'!F44-'L1'!C44)</f>
        <v>30</v>
      </c>
      <c r="D44" s="3">
        <f t="shared" si="0"/>
        <v>21.9158298953063</v>
      </c>
      <c r="E44" s="3">
        <f t="shared" si="1"/>
        <v>47.3400490323048</v>
      </c>
      <c r="F44" s="3">
        <f t="shared" si="2"/>
        <v>3.07788200212018</v>
      </c>
    </row>
    <row r="45" spans="1:6">
      <c r="A45">
        <v>2570</v>
      </c>
      <c r="B45" s="3">
        <f>'L1'!E45-'L1'!B45</f>
        <v>18.5</v>
      </c>
      <c r="C45" s="3">
        <f>-('L1'!F45-'L1'!C45)</f>
        <v>30.5</v>
      </c>
      <c r="D45" s="3">
        <f t="shared" si="0"/>
        <v>31.2738484999848</v>
      </c>
      <c r="E45" s="3">
        <f t="shared" si="1"/>
        <v>43.4357734670665</v>
      </c>
      <c r="F45" s="3">
        <f t="shared" si="2"/>
        <v>19.0758271987791</v>
      </c>
    </row>
    <row r="46" spans="1:6">
      <c r="A46">
        <v>2590</v>
      </c>
      <c r="B46" s="3">
        <f>'L1'!E46-'L1'!B46</f>
        <v>21</v>
      </c>
      <c r="C46" s="3">
        <f>-('L1'!F46-'L1'!C46)</f>
        <v>38</v>
      </c>
      <c r="D46" s="3">
        <f t="shared" si="0"/>
        <v>19.1194560592084</v>
      </c>
      <c r="E46" s="3">
        <f t="shared" si="1"/>
        <v>34.2977591480949</v>
      </c>
      <c r="F46" s="3">
        <f t="shared" si="2"/>
        <v>32.7752546507158</v>
      </c>
    </row>
    <row r="47" spans="1:6">
      <c r="A47">
        <v>2610</v>
      </c>
      <c r="B47" s="3">
        <f>'L1'!E47-'L1'!B47</f>
        <v>20.5</v>
      </c>
      <c r="C47" s="3">
        <f>-('L1'!F47-'L1'!C47)</f>
        <v>37.5</v>
      </c>
      <c r="D47" s="3">
        <f t="shared" si="0"/>
        <v>20.5925617638991</v>
      </c>
      <c r="E47" s="3">
        <f t="shared" si="1"/>
        <v>21.0270795882085</v>
      </c>
      <c r="F47" s="3">
        <f t="shared" si="2"/>
        <v>42.525469121353</v>
      </c>
    </row>
    <row r="48" spans="1:6">
      <c r="A48">
        <v>2630</v>
      </c>
      <c r="B48" s="3">
        <f>'L1'!E48-'L1'!B48</f>
        <v>17.5</v>
      </c>
      <c r="C48" s="3">
        <f>-('L1'!F48-'L1'!C48)</f>
        <v>38</v>
      </c>
      <c r="D48" s="3">
        <f t="shared" si="0"/>
        <v>22.3674674471653</v>
      </c>
      <c r="E48" s="3">
        <f t="shared" si="1"/>
        <v>5.22276858736062</v>
      </c>
      <c r="F48" s="3">
        <f t="shared" si="2"/>
        <v>47.1516308125486</v>
      </c>
    </row>
    <row r="49" spans="1:6">
      <c r="A49">
        <v>2650</v>
      </c>
      <c r="B49" s="3">
        <f>'L1'!E49-'L1'!B49</f>
        <v>15.5</v>
      </c>
      <c r="C49" s="3">
        <f>-('L1'!F49-'L1'!C49)</f>
        <v>40.5</v>
      </c>
      <c r="D49" s="3">
        <f t="shared" si="0"/>
        <v>19.2367772768725</v>
      </c>
      <c r="E49" s="3">
        <f t="shared" si="1"/>
        <v>-11.2108533287905</v>
      </c>
      <c r="F49" s="3">
        <f t="shared" si="2"/>
        <v>46.0963162046638</v>
      </c>
    </row>
    <row r="50" spans="1:6">
      <c r="A50">
        <v>2670</v>
      </c>
      <c r="B50" s="3">
        <f>'L1'!E50-'L1'!B50</f>
        <v>11.5</v>
      </c>
      <c r="C50" s="3">
        <f>-('L1'!F50-'L1'!C50)</f>
        <v>40.5</v>
      </c>
      <c r="D50" s="3">
        <f t="shared" si="0"/>
        <v>21.8644368781819</v>
      </c>
      <c r="E50" s="3">
        <f t="shared" si="1"/>
        <v>-26.2936376093736</v>
      </c>
      <c r="F50" s="3">
        <f t="shared" si="2"/>
        <v>39.4866841006805</v>
      </c>
    </row>
    <row r="51" spans="1:6">
      <c r="A51">
        <v>2690</v>
      </c>
      <c r="B51" s="3">
        <f>'L1'!E51-'L1'!B51</f>
        <v>8.5</v>
      </c>
      <c r="C51" s="3">
        <f>-('L1'!F51-'L1'!C51)</f>
        <v>40.5</v>
      </c>
      <c r="D51" s="3">
        <f t="shared" si="0"/>
        <v>23.1959824107538</v>
      </c>
      <c r="E51" s="3">
        <f t="shared" si="1"/>
        <v>-38.208203181082</v>
      </c>
      <c r="F51" s="3">
        <f t="shared" si="2"/>
        <v>28.1191537865768</v>
      </c>
    </row>
    <row r="52" spans="1:6">
      <c r="A52">
        <v>2710</v>
      </c>
      <c r="B52" s="3">
        <f>'L1'!E52-'L1'!B52</f>
        <v>5</v>
      </c>
      <c r="C52" s="3">
        <f>-('L1'!F52-'L1'!C52)</f>
        <v>40</v>
      </c>
      <c r="D52" s="3">
        <f t="shared" si="0"/>
        <v>25.0110695493016</v>
      </c>
      <c r="E52" s="3">
        <f t="shared" si="1"/>
        <v>-45.5189194889812</v>
      </c>
      <c r="F52" s="3">
        <f t="shared" si="2"/>
        <v>13.363441493704</v>
      </c>
    </row>
    <row r="53" spans="1:6">
      <c r="A53">
        <v>2730</v>
      </c>
      <c r="B53" s="3">
        <f>'L1'!E53-'L1'!B53</f>
        <v>1.5</v>
      </c>
      <c r="C53" s="3">
        <f>-('L1'!F53-'L1'!C53)</f>
        <v>40</v>
      </c>
      <c r="D53" s="3">
        <f t="shared" si="0"/>
        <v>25.461806691592</v>
      </c>
      <c r="E53" s="3">
        <f t="shared" si="1"/>
        <v>-47.3448909899716</v>
      </c>
      <c r="F53" s="3">
        <f t="shared" si="2"/>
        <v>-3.00248183136929</v>
      </c>
    </row>
    <row r="54" spans="1:6">
      <c r="A54">
        <v>2750</v>
      </c>
      <c r="B54" s="3">
        <f>'L1'!E54-'L1'!B54</f>
        <v>-3</v>
      </c>
      <c r="C54" s="3">
        <f>-('L1'!F54-'L1'!C54)</f>
        <v>40.5</v>
      </c>
      <c r="D54" s="3">
        <f t="shared" si="0"/>
        <v>24.5214926136237</v>
      </c>
      <c r="E54" s="3">
        <f t="shared" si="1"/>
        <v>-43.4660995504939</v>
      </c>
      <c r="F54" s="3">
        <f t="shared" si="2"/>
        <v>-19.0066248941403</v>
      </c>
    </row>
    <row r="55" spans="1:6">
      <c r="A55">
        <v>2770</v>
      </c>
      <c r="B55" s="3">
        <f>'L1'!E55-'L1'!B55</f>
        <v>-3</v>
      </c>
      <c r="C55" s="3">
        <f>-('L1'!F55-'L1'!C55)</f>
        <v>39</v>
      </c>
      <c r="D55" s="3">
        <f t="shared" si="0"/>
        <v>26.8431294747837</v>
      </c>
      <c r="E55" s="3">
        <f t="shared" si="1"/>
        <v>-34.3499152540996</v>
      </c>
      <c r="F55" s="3">
        <f t="shared" si="2"/>
        <v>-32.7205886566268</v>
      </c>
    </row>
    <row r="56" spans="1:6">
      <c r="A56">
        <v>2790</v>
      </c>
      <c r="B56" s="3">
        <f>'L1'!E56-'L1'!B56</f>
        <v>-6.5</v>
      </c>
      <c r="C56" s="3">
        <f>-('L1'!F56-'L1'!C56)</f>
        <v>37.5</v>
      </c>
      <c r="D56" s="3">
        <f t="shared" si="0"/>
        <v>28.3205508421005</v>
      </c>
      <c r="E56" s="3">
        <f t="shared" si="1"/>
        <v>-21.0947812325636</v>
      </c>
      <c r="F56" s="3">
        <f t="shared" si="2"/>
        <v>-42.4919263478403</v>
      </c>
    </row>
    <row r="57" spans="1:6">
      <c r="A57">
        <v>2810</v>
      </c>
      <c r="B57" s="3">
        <f>'L1'!E57-'L1'!B57</f>
        <v>-7.5</v>
      </c>
      <c r="C57" s="3">
        <f>-('L1'!F57-'L1'!C57)</f>
        <v>36.5</v>
      </c>
      <c r="D57" s="3">
        <f t="shared" si="0"/>
        <v>29.3607493092394</v>
      </c>
      <c r="E57" s="3">
        <f t="shared" si="1"/>
        <v>-5.29785814579775</v>
      </c>
      <c r="F57" s="3">
        <f t="shared" si="2"/>
        <v>-47.1432529538109</v>
      </c>
    </row>
    <row r="58" spans="1:6">
      <c r="A58">
        <v>2830</v>
      </c>
      <c r="B58" s="3">
        <f>'L1'!E58-'L1'!B58</f>
        <v>-6</v>
      </c>
      <c r="C58" s="3">
        <f>-('L1'!F58-'L1'!C58)</f>
        <v>32.5</v>
      </c>
      <c r="D58" s="3">
        <f t="shared" si="0"/>
        <v>34.0338596106877</v>
      </c>
      <c r="E58" s="3">
        <f t="shared" si="1"/>
        <v>11.1374236779314</v>
      </c>
      <c r="F58" s="3">
        <f t="shared" si="2"/>
        <v>-46.1141127402258</v>
      </c>
    </row>
    <row r="59" spans="1:6">
      <c r="A59">
        <v>2850</v>
      </c>
      <c r="B59" s="3">
        <f>'L1'!E59-'L1'!B59</f>
        <v>-7</v>
      </c>
      <c r="C59" s="3">
        <f>-('L1'!F59-'L1'!C59)</f>
        <v>32</v>
      </c>
      <c r="D59" s="3">
        <f t="shared" si="0"/>
        <v>34.3155008705978</v>
      </c>
      <c r="E59" s="3">
        <f t="shared" si="1"/>
        <v>26.2307156792818</v>
      </c>
      <c r="F59" s="3">
        <f t="shared" si="2"/>
        <v>-39.5285106594301</v>
      </c>
    </row>
    <row r="60" spans="1:6">
      <c r="A60">
        <v>2870</v>
      </c>
      <c r="B60" s="3">
        <f>'L1'!E60-'L1'!B60</f>
        <v>-22</v>
      </c>
      <c r="C60" s="3">
        <f>-('L1'!F60-'L1'!C60)</f>
        <v>30</v>
      </c>
      <c r="D60" s="3">
        <f t="shared" si="0"/>
        <v>29.4372824832728</v>
      </c>
      <c r="E60" s="3">
        <f t="shared" si="1"/>
        <v>38.1633706703828</v>
      </c>
      <c r="F60" s="3">
        <f t="shared" si="2"/>
        <v>-28.1799705300585</v>
      </c>
    </row>
    <row r="61" spans="1:6">
      <c r="A61">
        <v>2890</v>
      </c>
      <c r="B61" s="3">
        <f>'L1'!E61-'L1'!B61</f>
        <v>-23.5</v>
      </c>
      <c r="C61" s="3">
        <f>-('L1'!F61-'L1'!C61)</f>
        <v>27.5</v>
      </c>
      <c r="D61" s="3">
        <f t="shared" si="0"/>
        <v>30.6928916852095</v>
      </c>
      <c r="E61" s="3">
        <f t="shared" si="1"/>
        <v>45.4975784345199</v>
      </c>
      <c r="F61" s="3">
        <f t="shared" si="2"/>
        <v>-13.4359203850986</v>
      </c>
    </row>
    <row r="62" spans="1:6">
      <c r="A62">
        <v>2910</v>
      </c>
      <c r="B62" s="3">
        <f>'L1'!E62-'L1'!B62</f>
        <v>-25</v>
      </c>
      <c r="C62" s="3">
        <f>-('L1'!F62-'L1'!C62)</f>
        <v>27</v>
      </c>
      <c r="D62" s="3">
        <f t="shared" si="0"/>
        <v>29.9425049052346</v>
      </c>
      <c r="E62" s="3">
        <f t="shared" si="1"/>
        <v>47.3496128551957</v>
      </c>
      <c r="F62" s="3">
        <f t="shared" si="2"/>
        <v>2.92707404468836</v>
      </c>
    </row>
    <row r="63" spans="1:6">
      <c r="A63">
        <v>2930</v>
      </c>
      <c r="B63" s="3">
        <f>'L1'!E63-'L1'!B63</f>
        <v>-26</v>
      </c>
      <c r="C63" s="3">
        <f>-('L1'!F63-'L1'!C63)</f>
        <v>24</v>
      </c>
      <c r="D63" s="3">
        <f t="shared" si="0"/>
        <v>31.5998987340149</v>
      </c>
      <c r="E63" s="3">
        <f t="shared" si="1"/>
        <v>43.4963153802071</v>
      </c>
      <c r="F63" s="3">
        <f t="shared" si="2"/>
        <v>18.937374378344</v>
      </c>
    </row>
    <row r="64" spans="1:6">
      <c r="A64">
        <v>2950</v>
      </c>
      <c r="B64" s="3">
        <f>'L1'!E64-'L1'!B64</f>
        <v>-26.5</v>
      </c>
      <c r="C64" s="3">
        <f>-('L1'!F64-'L1'!C64)</f>
        <v>21.5</v>
      </c>
      <c r="D64" s="3">
        <f t="shared" si="0"/>
        <v>32.9553273386868</v>
      </c>
      <c r="E64" s="3">
        <f t="shared" si="1"/>
        <v>34.4019842300012</v>
      </c>
      <c r="F64" s="3">
        <f t="shared" si="2"/>
        <v>32.6658396652948</v>
      </c>
    </row>
    <row r="65" spans="1:6">
      <c r="A65">
        <v>2970</v>
      </c>
      <c r="B65" s="3">
        <f>'L1'!E65-'L1'!B65</f>
        <v>-29</v>
      </c>
      <c r="C65" s="3">
        <f>-('L1'!F65-'L1'!C65)</f>
        <v>17</v>
      </c>
      <c r="D65" s="3">
        <f t="shared" si="0"/>
        <v>33.4746710215351</v>
      </c>
      <c r="E65" s="3">
        <f t="shared" si="1"/>
        <v>21.1624293690586</v>
      </c>
      <c r="F65" s="3">
        <f t="shared" si="2"/>
        <v>42.4582757916476</v>
      </c>
    </row>
    <row r="66" spans="1:6">
      <c r="A66">
        <v>2990</v>
      </c>
      <c r="B66" s="3">
        <f>'L1'!E66-'L1'!B66</f>
        <v>-29.5</v>
      </c>
      <c r="C66" s="3">
        <f>-('L1'!F66-'L1'!C66)</f>
        <v>16</v>
      </c>
      <c r="D66" s="3">
        <f t="shared" ref="D66:D112" si="3">SQRT(47.44*47.44-B66*B66-C66*C66)</f>
        <v>33.5306367371692</v>
      </c>
      <c r="E66" s="3">
        <f t="shared" ref="E66:E113" si="4">COS(3.14/9*((A66-25)/20))*47.44</f>
        <v>5.37293426597971</v>
      </c>
      <c r="F66" s="3">
        <f t="shared" ref="F66:F113" si="5">SIN(3.14/9*((A66-25)/20))*47.44</f>
        <v>47.1347555140945</v>
      </c>
    </row>
    <row r="67" spans="1:6">
      <c r="A67">
        <v>3010</v>
      </c>
      <c r="B67" s="3">
        <f>'L1'!E67-'L1'!B67</f>
        <v>-30.5</v>
      </c>
      <c r="C67" s="3">
        <f>-('L1'!F67-'L1'!C67)</f>
        <v>11.5</v>
      </c>
      <c r="D67" s="3">
        <f t="shared" si="3"/>
        <v>34.4681534173213</v>
      </c>
      <c r="E67" s="3">
        <f t="shared" si="4"/>
        <v>-11.0639657764967</v>
      </c>
      <c r="F67" s="3">
        <f t="shared" si="5"/>
        <v>46.1317923052694</v>
      </c>
    </row>
    <row r="68" spans="1:6">
      <c r="A68">
        <v>3030</v>
      </c>
      <c r="B68" s="3">
        <f>'L1'!E68-'L1'!B68</f>
        <v>-31</v>
      </c>
      <c r="C68" s="3">
        <f>-('L1'!F68-'L1'!C68)</f>
        <v>8</v>
      </c>
      <c r="D68" s="3">
        <f t="shared" si="3"/>
        <v>35.0079076781232</v>
      </c>
      <c r="E68" s="3">
        <f t="shared" si="4"/>
        <v>-26.1677272138013</v>
      </c>
      <c r="F68" s="3">
        <f t="shared" si="5"/>
        <v>39.5702369523368</v>
      </c>
    </row>
    <row r="69" spans="1:6">
      <c r="A69">
        <v>3050</v>
      </c>
      <c r="B69" s="3">
        <f>'L1'!E69-'L1'!B69</f>
        <v>-29</v>
      </c>
      <c r="C69" s="3">
        <f>-('L1'!F69-'L1'!C69)</f>
        <v>6</v>
      </c>
      <c r="D69" s="3">
        <f t="shared" si="3"/>
        <v>37.0614840501564</v>
      </c>
      <c r="E69" s="3">
        <f t="shared" si="4"/>
        <v>-38.1184413565796</v>
      </c>
      <c r="F69" s="3">
        <f t="shared" si="5"/>
        <v>28.240715793779</v>
      </c>
    </row>
    <row r="70" spans="1:6">
      <c r="A70">
        <v>3070</v>
      </c>
      <c r="B70" s="3">
        <f>'L1'!E70-'L1'!B70</f>
        <v>-28</v>
      </c>
      <c r="C70" s="3">
        <f>-('L1'!F70-'L1'!C70)</f>
        <v>5</v>
      </c>
      <c r="D70" s="3">
        <f t="shared" si="3"/>
        <v>37.9677968810412</v>
      </c>
      <c r="E70" s="3">
        <f t="shared" si="4"/>
        <v>-45.4761219734072</v>
      </c>
      <c r="F70" s="3">
        <f t="shared" si="5"/>
        <v>13.5083651956776</v>
      </c>
    </row>
    <row r="71" spans="1:6">
      <c r="A71">
        <v>3090</v>
      </c>
      <c r="B71" s="3">
        <f>'L1'!E71-'L1'!B71</f>
        <v>-28.5</v>
      </c>
      <c r="C71" s="3">
        <f>-('L1'!F71-'L1'!C71)</f>
        <v>-0.5</v>
      </c>
      <c r="D71" s="3">
        <f t="shared" si="3"/>
        <v>37.9216771780996</v>
      </c>
      <c r="E71" s="3">
        <f t="shared" si="4"/>
        <v>-47.3542146159997</v>
      </c>
      <c r="F71" s="3">
        <f t="shared" si="5"/>
        <v>-2.85165883335263</v>
      </c>
    </row>
    <row r="72" spans="1:6">
      <c r="A72">
        <v>3110</v>
      </c>
      <c r="B72" s="3">
        <f>'L1'!E72-'L1'!B72</f>
        <v>-27.5</v>
      </c>
      <c r="C72" s="3">
        <f>-('L1'!F72-'L1'!C72)</f>
        <v>-4.5</v>
      </c>
      <c r="D72" s="3">
        <f t="shared" si="3"/>
        <v>38.393405683789</v>
      </c>
      <c r="E72" s="3">
        <f t="shared" si="4"/>
        <v>-43.5264208795624</v>
      </c>
      <c r="F72" s="3">
        <f t="shared" si="5"/>
        <v>-18.8680758270469</v>
      </c>
    </row>
    <row r="73" spans="1:6">
      <c r="A73">
        <v>3130</v>
      </c>
      <c r="B73" s="3">
        <f>'L1'!E73-'L1'!B73</f>
        <v>-27.5</v>
      </c>
      <c r="C73" s="3">
        <f>-('L1'!F73-'L1'!C73)</f>
        <v>-9.5</v>
      </c>
      <c r="D73" s="3">
        <f t="shared" si="3"/>
        <v>37.4707032226512</v>
      </c>
      <c r="E73" s="3">
        <f t="shared" si="4"/>
        <v>-34.4539659437244</v>
      </c>
      <c r="F73" s="3">
        <f t="shared" si="5"/>
        <v>-32.6110078155932</v>
      </c>
    </row>
    <row r="74" spans="1:6">
      <c r="A74">
        <v>3150</v>
      </c>
      <c r="B74" s="3">
        <f>'L1'!E74-'L1'!B74</f>
        <v>-27.5</v>
      </c>
      <c r="C74" s="3">
        <f>-('L1'!F74-'L1'!C74)</f>
        <v>-17.5</v>
      </c>
      <c r="D74" s="3">
        <f t="shared" si="3"/>
        <v>34.4681534173213</v>
      </c>
      <c r="E74" s="3">
        <f t="shared" si="4"/>
        <v>-21.2300238261007</v>
      </c>
      <c r="F74" s="3">
        <f t="shared" si="5"/>
        <v>-42.4245175381311</v>
      </c>
    </row>
    <row r="75" spans="1:6">
      <c r="A75">
        <v>3170</v>
      </c>
      <c r="B75" s="3">
        <f>'L1'!E75-'L1'!B75</f>
        <v>-25.5</v>
      </c>
      <c r="C75" s="3">
        <f>-('L1'!F75-'L1'!C75)</f>
        <v>-17</v>
      </c>
      <c r="D75" s="3">
        <f t="shared" si="3"/>
        <v>36.2119262122301</v>
      </c>
      <c r="E75" s="3">
        <f t="shared" si="4"/>
        <v>-5.44799675747254</v>
      </c>
      <c r="F75" s="3">
        <f t="shared" si="5"/>
        <v>-47.1261385149533</v>
      </c>
    </row>
    <row r="76" spans="1:6">
      <c r="A76">
        <v>3190</v>
      </c>
      <c r="B76" s="3">
        <f>'L1'!E76-'L1'!B76</f>
        <v>-24.5</v>
      </c>
      <c r="C76" s="3">
        <f>-('L1'!F76-'L1'!C76)</f>
        <v>-24.5</v>
      </c>
      <c r="D76" s="3">
        <f t="shared" si="3"/>
        <v>32.4045305474404</v>
      </c>
      <c r="E76" s="3">
        <f t="shared" si="4"/>
        <v>10.9904798108159</v>
      </c>
      <c r="F76" s="3">
        <f t="shared" si="5"/>
        <v>-46.1493548549495</v>
      </c>
    </row>
    <row r="77" spans="1:6">
      <c r="A77">
        <v>3210</v>
      </c>
      <c r="B77" s="3">
        <f>'L1'!E77-'L1'!B77</f>
        <v>-22</v>
      </c>
      <c r="C77" s="3">
        <f>-('L1'!F77-'L1'!C77)</f>
        <v>-27</v>
      </c>
      <c r="D77" s="3">
        <f t="shared" si="3"/>
        <v>32.2110788394304</v>
      </c>
      <c r="E77" s="3">
        <f t="shared" si="4"/>
        <v>26.1046723727054</v>
      </c>
      <c r="F77" s="3">
        <f t="shared" si="5"/>
        <v>-39.6118628735599</v>
      </c>
    </row>
    <row r="78" spans="1:6">
      <c r="A78">
        <v>3230</v>
      </c>
      <c r="B78" s="3">
        <f>'L1'!E78-'L1'!B78</f>
        <v>-19.5</v>
      </c>
      <c r="C78" s="3">
        <f>-('L1'!F78-'L1'!C78)</f>
        <v>-27</v>
      </c>
      <c r="D78" s="3">
        <f t="shared" si="3"/>
        <v>33.7831851665884</v>
      </c>
      <c r="E78" s="3">
        <f t="shared" si="4"/>
        <v>38.0734153536376</v>
      </c>
      <c r="F78" s="3">
        <f t="shared" si="5"/>
        <v>-28.3013894236554</v>
      </c>
    </row>
    <row r="79" spans="1:6">
      <c r="A79">
        <v>3250</v>
      </c>
      <c r="B79" s="3">
        <f>'L1'!E79-'L1'!B79</f>
        <v>-16.5</v>
      </c>
      <c r="C79" s="3">
        <f>-('L1'!F79-'L1'!C79)</f>
        <v>-30</v>
      </c>
      <c r="D79" s="3">
        <f t="shared" si="3"/>
        <v>32.8375334031044</v>
      </c>
      <c r="E79" s="3">
        <f t="shared" si="4"/>
        <v>45.4545501600682</v>
      </c>
      <c r="F79" s="3">
        <f t="shared" si="5"/>
        <v>-13.5807757416815</v>
      </c>
    </row>
    <row r="80" spans="1:6">
      <c r="A80">
        <v>3270</v>
      </c>
      <c r="B80" s="3">
        <f>'L1'!E80-'L1'!B80</f>
        <v>-14.5</v>
      </c>
      <c r="C80" s="3">
        <f>-('L1'!F80-'L1'!C80)</f>
        <v>-30</v>
      </c>
      <c r="D80" s="3">
        <f t="shared" si="3"/>
        <v>33.7683816609562</v>
      </c>
      <c r="E80" s="3">
        <f t="shared" si="4"/>
        <v>47.3586962607112</v>
      </c>
      <c r="F80" s="3">
        <f t="shared" si="5"/>
        <v>2.77623638865618</v>
      </c>
    </row>
    <row r="81" spans="1:6">
      <c r="A81">
        <v>3290</v>
      </c>
      <c r="B81" s="3">
        <f>'L1'!E81-'L1'!B81</f>
        <v>-11.5</v>
      </c>
      <c r="C81" s="3">
        <f>-('L1'!F81-'L1'!C81)</f>
        <v>-30</v>
      </c>
      <c r="D81" s="3">
        <f t="shared" si="3"/>
        <v>34.9042060502742</v>
      </c>
      <c r="E81" s="3">
        <f t="shared" si="4"/>
        <v>43.5564159721959</v>
      </c>
      <c r="F81" s="3">
        <f t="shared" si="5"/>
        <v>18.7987294160279</v>
      </c>
    </row>
    <row r="82" spans="1:6">
      <c r="A82">
        <v>3310</v>
      </c>
      <c r="B82" s="3">
        <f>'L1'!E82-'L1'!B82</f>
        <v>-9</v>
      </c>
      <c r="C82" s="3">
        <f>-('L1'!F82-'L1'!C82)</f>
        <v>-30</v>
      </c>
      <c r="D82" s="3">
        <f t="shared" si="3"/>
        <v>35.6307956689154</v>
      </c>
      <c r="E82" s="3">
        <f t="shared" si="4"/>
        <v>34.5058602634153</v>
      </c>
      <c r="F82" s="3">
        <f t="shared" si="5"/>
        <v>32.5560932466053</v>
      </c>
    </row>
    <row r="83" spans="1:6">
      <c r="A83">
        <v>3330</v>
      </c>
      <c r="B83" s="3">
        <f>'L1'!E83-'L1'!B83</f>
        <v>-6.5</v>
      </c>
      <c r="C83" s="3">
        <f>-('L1'!F83-'L1'!C83)</f>
        <v>-28</v>
      </c>
      <c r="D83" s="3">
        <f t="shared" si="3"/>
        <v>37.7399470057921</v>
      </c>
      <c r="E83" s="3">
        <f t="shared" si="4"/>
        <v>21.2975644322338</v>
      </c>
      <c r="F83" s="3">
        <f t="shared" si="5"/>
        <v>42.3906516729202</v>
      </c>
    </row>
    <row r="84" spans="1:6">
      <c r="A84">
        <v>3350</v>
      </c>
      <c r="B84" s="3">
        <f>'L1'!E84-'L1'!B84</f>
        <v>-3</v>
      </c>
      <c r="C84" s="3">
        <f>-('L1'!F84-'L1'!C84)</f>
        <v>-29.5</v>
      </c>
      <c r="D84" s="3">
        <f t="shared" si="3"/>
        <v>37.0311166453295</v>
      </c>
      <c r="E84" s="3">
        <f t="shared" si="4"/>
        <v>5.52304542987687</v>
      </c>
      <c r="F84" s="3">
        <f t="shared" si="5"/>
        <v>47.1174019782449</v>
      </c>
    </row>
    <row r="85" spans="1:6">
      <c r="A85">
        <v>3370</v>
      </c>
      <c r="B85" s="3">
        <f>'L1'!E85-'L1'!B85</f>
        <v>0.5</v>
      </c>
      <c r="C85" s="3">
        <f>-('L1'!F85-'L1'!C85)</f>
        <v>-32</v>
      </c>
      <c r="D85" s="3">
        <f t="shared" si="3"/>
        <v>35.0186179053372</v>
      </c>
      <c r="E85" s="3">
        <f t="shared" si="4"/>
        <v>-10.9169659672893</v>
      </c>
      <c r="F85" s="3">
        <f t="shared" si="5"/>
        <v>46.1668003447179</v>
      </c>
    </row>
    <row r="86" spans="1:6">
      <c r="A86">
        <v>3390</v>
      </c>
      <c r="B86" s="3">
        <f>'L1'!E86-'L1'!B86</f>
        <v>4.5</v>
      </c>
      <c r="C86" s="3">
        <f>-('L1'!F86-'L1'!C86)</f>
        <v>-31.5</v>
      </c>
      <c r="D86" s="3">
        <f t="shared" si="3"/>
        <v>35.1859858466407</v>
      </c>
      <c r="E86" s="3">
        <f t="shared" si="4"/>
        <v>-26.0415513159353</v>
      </c>
      <c r="F86" s="3">
        <f t="shared" si="5"/>
        <v>39.6533883175134</v>
      </c>
    </row>
    <row r="87" spans="1:6">
      <c r="A87">
        <v>3410</v>
      </c>
      <c r="B87" s="3">
        <f>'L1'!E87-'L1'!B87</f>
        <v>7.5</v>
      </c>
      <c r="C87" s="3">
        <f>-('L1'!F87-'L1'!C87)</f>
        <v>-30.5</v>
      </c>
      <c r="D87" s="3">
        <f t="shared" si="3"/>
        <v>35.5535314701648</v>
      </c>
      <c r="E87" s="3">
        <f t="shared" si="4"/>
        <v>-38.0282927757672</v>
      </c>
      <c r="F87" s="3">
        <f t="shared" si="5"/>
        <v>28.3619912657862</v>
      </c>
    </row>
    <row r="88" spans="1:6">
      <c r="A88">
        <v>3430</v>
      </c>
      <c r="B88" s="3">
        <f>'L1'!E88-'L1'!B88</f>
        <v>11.5</v>
      </c>
      <c r="C88" s="3">
        <f>-('L1'!F88-'L1'!C88)</f>
        <v>-33.5</v>
      </c>
      <c r="D88" s="3">
        <f t="shared" si="3"/>
        <v>31.5603168551902</v>
      </c>
      <c r="E88" s="3">
        <f t="shared" si="4"/>
        <v>-45.4328630492209</v>
      </c>
      <c r="F88" s="3">
        <f t="shared" si="5"/>
        <v>13.6531518394376</v>
      </c>
    </row>
    <row r="89" spans="1:6">
      <c r="A89">
        <v>3450</v>
      </c>
      <c r="B89" s="3">
        <f>'L1'!E89-'L1'!B89</f>
        <v>14</v>
      </c>
      <c r="C89" s="3">
        <f>-('L1'!F89-'L1'!C89)</f>
        <v>-30</v>
      </c>
      <c r="D89" s="3">
        <f t="shared" si="3"/>
        <v>33.9787227541001</v>
      </c>
      <c r="E89" s="3">
        <f t="shared" si="4"/>
        <v>-47.3630577779622</v>
      </c>
      <c r="F89" s="3">
        <f t="shared" si="5"/>
        <v>-2.70080690191141</v>
      </c>
    </row>
    <row r="90" spans="1:6">
      <c r="A90">
        <v>3470</v>
      </c>
      <c r="B90" s="3">
        <f>'L1'!E90-'L1'!B90</f>
        <v>17</v>
      </c>
      <c r="C90" s="3">
        <f>-('L1'!F90-'L1'!C90)</f>
        <v>-29</v>
      </c>
      <c r="D90" s="3">
        <f t="shared" si="3"/>
        <v>33.4746710215351</v>
      </c>
      <c r="E90" s="3">
        <f t="shared" si="4"/>
        <v>-43.5863005820238</v>
      </c>
      <c r="F90" s="3">
        <f t="shared" si="5"/>
        <v>-18.7293353211873</v>
      </c>
    </row>
    <row r="91" spans="1:6">
      <c r="A91">
        <v>3490</v>
      </c>
      <c r="B91" s="3">
        <f>'L1'!E91-'L1'!B91</f>
        <v>20.5</v>
      </c>
      <c r="C91" s="3">
        <f>-('L1'!F91-'L1'!C91)</f>
        <v>-29.5</v>
      </c>
      <c r="D91" s="3">
        <f t="shared" si="3"/>
        <v>30.9847317238668</v>
      </c>
      <c r="E91" s="3">
        <f t="shared" si="4"/>
        <v>-34.5576670574416</v>
      </c>
      <c r="F91" s="3">
        <f t="shared" si="5"/>
        <v>-32.5010960976244</v>
      </c>
    </row>
    <row r="92" spans="1:6">
      <c r="A92">
        <v>3510</v>
      </c>
      <c r="B92" s="3">
        <f>'L1'!E92-'L1'!B92</f>
        <v>23</v>
      </c>
      <c r="C92" s="3">
        <f>-('L1'!F92-'L1'!C92)</f>
        <v>-27</v>
      </c>
      <c r="D92" s="3">
        <f t="shared" si="3"/>
        <v>31.5048186790529</v>
      </c>
      <c r="E92" s="3">
        <f t="shared" si="4"/>
        <v>-21.365051016138</v>
      </c>
      <c r="F92" s="3">
        <f t="shared" si="5"/>
        <v>-42.356678281917</v>
      </c>
    </row>
    <row r="93" spans="1:6">
      <c r="A93">
        <v>3530</v>
      </c>
      <c r="B93" s="3">
        <f>'L1'!E93-'L1'!B93</f>
        <v>25.5</v>
      </c>
      <c r="C93" s="3">
        <f>-('L1'!F93-'L1'!C93)</f>
        <v>-25.5</v>
      </c>
      <c r="D93" s="3">
        <f t="shared" si="3"/>
        <v>30.8229395093979</v>
      </c>
      <c r="E93" s="3">
        <f t="shared" si="4"/>
        <v>-5.59808009282837</v>
      </c>
      <c r="F93" s="3">
        <f t="shared" si="5"/>
        <v>-47.1085459261298</v>
      </c>
    </row>
    <row r="94" spans="1:6">
      <c r="A94">
        <v>3550</v>
      </c>
      <c r="B94" s="3">
        <f>'L1'!E94-'L1'!B94</f>
        <v>28.5</v>
      </c>
      <c r="C94" s="3">
        <f>-('L1'!F94-'L1'!C94)</f>
        <v>-23.5</v>
      </c>
      <c r="D94" s="3">
        <f t="shared" si="3"/>
        <v>29.7666524822661</v>
      </c>
      <c r="E94" s="3">
        <f t="shared" si="4"/>
        <v>10.8434244323882</v>
      </c>
      <c r="F94" s="3">
        <f t="shared" si="5"/>
        <v>-46.1841287303234</v>
      </c>
    </row>
    <row r="95" spans="1:6">
      <c r="A95">
        <v>3570</v>
      </c>
      <c r="B95" s="3">
        <f>'L1'!E95-'L1'!B95</f>
        <v>34</v>
      </c>
      <c r="C95" s="3">
        <f>-('L1'!F95-'L1'!C95)</f>
        <v>-21</v>
      </c>
      <c r="D95" s="3">
        <f t="shared" si="3"/>
        <v>25.5646944045885</v>
      </c>
      <c r="E95" s="3">
        <f t="shared" si="4"/>
        <v>25.9783642036005</v>
      </c>
      <c r="F95" s="3">
        <f t="shared" si="5"/>
        <v>-39.6948131788662</v>
      </c>
    </row>
    <row r="96" spans="1:6">
      <c r="A96">
        <v>3590</v>
      </c>
      <c r="B96" s="3">
        <f>'L1'!E96-'L1'!B96</f>
        <v>35.5</v>
      </c>
      <c r="C96" s="3">
        <f>-('L1'!F96-'L1'!C96)</f>
        <v>-18.5</v>
      </c>
      <c r="D96" s="3">
        <f t="shared" si="3"/>
        <v>25.4568969043754</v>
      </c>
      <c r="E96" s="3">
        <f t="shared" si="4"/>
        <v>37.9830737374239</v>
      </c>
      <c r="F96" s="3">
        <f t="shared" si="5"/>
        <v>-28.4225211664521</v>
      </c>
    </row>
    <row r="97" spans="1:6">
      <c r="A97">
        <v>3610</v>
      </c>
      <c r="B97" s="3">
        <f>'L1'!E97-'L1'!B97</f>
        <v>35</v>
      </c>
      <c r="C97" s="3">
        <f>-('L1'!F97-'L1'!C97)</f>
        <v>-17.5</v>
      </c>
      <c r="D97" s="3">
        <f t="shared" si="3"/>
        <v>26.8198359428241</v>
      </c>
      <c r="E97" s="3">
        <f t="shared" si="4"/>
        <v>45.4110606958756</v>
      </c>
      <c r="F97" s="3">
        <f t="shared" si="5"/>
        <v>-13.7254933053608</v>
      </c>
    </row>
    <row r="98" spans="1:6">
      <c r="A98">
        <v>3630</v>
      </c>
      <c r="B98" s="3">
        <f>'L1'!E98-'L1'!B98</f>
        <v>38</v>
      </c>
      <c r="C98" s="3">
        <f>-('L1'!F98-'L1'!C98)</f>
        <v>-15</v>
      </c>
      <c r="D98" s="3">
        <f t="shared" si="3"/>
        <v>24.1154224512033</v>
      </c>
      <c r="E98" s="3">
        <f t="shared" si="4"/>
        <v>47.3672991566896</v>
      </c>
      <c r="F98" s="3">
        <f t="shared" si="5"/>
        <v>2.62537056444861</v>
      </c>
    </row>
    <row r="99" spans="1:6">
      <c r="A99">
        <v>3650</v>
      </c>
      <c r="B99" s="3">
        <f>'L1'!E99-'L1'!B99</f>
        <v>38</v>
      </c>
      <c r="C99" s="3">
        <f>-('L1'!F99-'L1'!C99)</f>
        <v>-13</v>
      </c>
      <c r="D99" s="3">
        <f t="shared" si="3"/>
        <v>25.2498237617612</v>
      </c>
      <c r="E99" s="3">
        <f t="shared" si="4"/>
        <v>43.6160746332422</v>
      </c>
      <c r="F99" s="3">
        <f t="shared" si="5"/>
        <v>18.6598937185463</v>
      </c>
    </row>
    <row r="100" spans="1:6">
      <c r="A100">
        <v>3670</v>
      </c>
      <c r="B100" s="3">
        <f>'L1'!E100-'L1'!B100</f>
        <v>40</v>
      </c>
      <c r="C100" s="3">
        <f>-('L1'!F100-'L1'!C100)</f>
        <v>-7.5</v>
      </c>
      <c r="D100" s="3">
        <f t="shared" si="3"/>
        <v>24.3783428476999</v>
      </c>
      <c r="E100" s="3">
        <f t="shared" si="4"/>
        <v>34.6093861943931</v>
      </c>
      <c r="F100" s="3">
        <f t="shared" si="5"/>
        <v>32.4460165081532</v>
      </c>
    </row>
    <row r="101" spans="1:6">
      <c r="A101">
        <v>3690</v>
      </c>
      <c r="B101" s="3">
        <f>'L1'!E101-'L1'!B101</f>
        <v>40</v>
      </c>
      <c r="C101" s="3">
        <f>-('L1'!F101-'L1'!C101)</f>
        <v>-5.5</v>
      </c>
      <c r="D101" s="3">
        <f t="shared" si="3"/>
        <v>24.9058948845449</v>
      </c>
      <c r="E101" s="3">
        <f t="shared" si="4"/>
        <v>21.4324834066306</v>
      </c>
      <c r="F101" s="3">
        <f t="shared" si="5"/>
        <v>42.3225974512967</v>
      </c>
    </row>
    <row r="102" spans="1:6">
      <c r="A102">
        <v>3710</v>
      </c>
      <c r="B102" s="3">
        <f>'L1'!E102-'L1'!B102</f>
        <v>41.5</v>
      </c>
      <c r="C102" s="3">
        <f>-('L1'!F102-'L1'!C102)</f>
        <v>-1.5</v>
      </c>
      <c r="D102" s="3">
        <f t="shared" si="3"/>
        <v>22.9358583881223</v>
      </c>
      <c r="E102" s="3">
        <f t="shared" si="4"/>
        <v>5.67310055599824</v>
      </c>
      <c r="F102" s="3">
        <f t="shared" si="5"/>
        <v>47.0995703810718</v>
      </c>
    </row>
    <row r="103" spans="1:6">
      <c r="A103">
        <v>3730</v>
      </c>
      <c r="B103" s="3">
        <f>'L1'!E103-'L1'!B103</f>
        <v>39</v>
      </c>
      <c r="C103" s="3">
        <f>-('L1'!F103-'L1'!C103)</f>
        <v>3</v>
      </c>
      <c r="D103" s="3">
        <f t="shared" si="3"/>
        <v>26.8431294747837</v>
      </c>
      <c r="E103" s="3">
        <f t="shared" si="4"/>
        <v>-10.7698553926539</v>
      </c>
      <c r="F103" s="3">
        <f t="shared" si="5"/>
        <v>46.2013399678118</v>
      </c>
    </row>
    <row r="104" spans="1:6">
      <c r="A104">
        <v>3750</v>
      </c>
      <c r="B104" s="3">
        <f>'L1'!E104-'L1'!B104</f>
        <v>41</v>
      </c>
      <c r="C104" s="3">
        <f>-('L1'!F104-'L1'!C104)</f>
        <v>5</v>
      </c>
      <c r="D104" s="3">
        <f t="shared" si="3"/>
        <v>23.3356722637253</v>
      </c>
      <c r="E104" s="3">
        <f t="shared" si="4"/>
        <v>-25.9151111959776</v>
      </c>
      <c r="F104" s="3">
        <f t="shared" si="5"/>
        <v>39.7361373525424</v>
      </c>
    </row>
    <row r="105" spans="1:6">
      <c r="A105">
        <v>3770</v>
      </c>
      <c r="B105" s="3">
        <f>'L1'!E105-'L1'!B105</f>
        <v>41.5</v>
      </c>
      <c r="C105" s="3">
        <f>-('L1'!F105-'L1'!C105)</f>
        <v>7.5</v>
      </c>
      <c r="D105" s="3">
        <f t="shared" si="3"/>
        <v>21.7267945173696</v>
      </c>
      <c r="E105" s="3">
        <f t="shared" si="4"/>
        <v>-37.9377583533079</v>
      </c>
      <c r="F105" s="3">
        <f t="shared" si="5"/>
        <v>28.4829789721162</v>
      </c>
    </row>
    <row r="106" spans="1:6">
      <c r="A106">
        <v>3790</v>
      </c>
      <c r="B106" s="3">
        <f>'L1'!E106-'L1'!B106</f>
        <v>40</v>
      </c>
      <c r="C106" s="3">
        <f>-('L1'!F106-'L1'!C106)</f>
        <v>11.5</v>
      </c>
      <c r="D106" s="3">
        <f t="shared" si="3"/>
        <v>22.7662820855756</v>
      </c>
      <c r="E106" s="3">
        <f t="shared" si="4"/>
        <v>-45.3891431553349</v>
      </c>
      <c r="F106" s="3">
        <f t="shared" si="5"/>
        <v>13.7977999559537</v>
      </c>
    </row>
    <row r="107" spans="1:6">
      <c r="A107">
        <v>3810</v>
      </c>
      <c r="B107" s="3">
        <f>'L1'!E107-'L1'!B107</f>
        <v>39.5</v>
      </c>
      <c r="C107" s="3">
        <f>-('L1'!F107-'L1'!C107)</f>
        <v>16</v>
      </c>
      <c r="D107" s="3">
        <f t="shared" si="3"/>
        <v>20.8399520152998</v>
      </c>
      <c r="E107" s="3">
        <f t="shared" si="4"/>
        <v>-47.3714203861349</v>
      </c>
      <c r="F107" s="3">
        <f t="shared" si="5"/>
        <v>-2.5499275676151</v>
      </c>
    </row>
    <row r="108" spans="1:6">
      <c r="A108">
        <v>3830</v>
      </c>
      <c r="B108" s="3">
        <f>'L1'!E108-'L1'!B108</f>
        <v>38</v>
      </c>
      <c r="C108" s="3">
        <f>-('L1'!F108-'L1'!C108)</f>
        <v>18</v>
      </c>
      <c r="D108" s="3">
        <f t="shared" si="3"/>
        <v>21.9671026765024</v>
      </c>
      <c r="E108" s="3">
        <f t="shared" si="4"/>
        <v>-43.6457380503281</v>
      </c>
      <c r="F108" s="3">
        <f t="shared" si="5"/>
        <v>-18.5904047842467</v>
      </c>
    </row>
    <row r="109" spans="1:6">
      <c r="A109">
        <v>3850</v>
      </c>
      <c r="B109" s="3">
        <f>'L1'!E109-'L1'!B109</f>
        <v>36.5</v>
      </c>
      <c r="C109" s="3">
        <f>-('L1'!F109-'L1'!C109)</f>
        <v>21</v>
      </c>
      <c r="D109" s="3">
        <f t="shared" si="3"/>
        <v>21.8472790067779</v>
      </c>
      <c r="E109" s="3">
        <f t="shared" si="4"/>
        <v>-34.6610175430818</v>
      </c>
      <c r="F109" s="3">
        <f t="shared" si="5"/>
        <v>-32.3908546179038</v>
      </c>
    </row>
    <row r="110" spans="1:6">
      <c r="A110">
        <v>3870</v>
      </c>
      <c r="B110" s="3">
        <f>'L1'!E110-'L1'!B110</f>
        <v>35.5</v>
      </c>
      <c r="C110" s="3">
        <f>-('L1'!F110-'L1'!C110)</f>
        <v>24.5</v>
      </c>
      <c r="D110" s="3">
        <f t="shared" si="3"/>
        <v>19.749774682259</v>
      </c>
      <c r="E110" s="3">
        <f t="shared" si="4"/>
        <v>-21.4998614326665</v>
      </c>
      <c r="F110" s="3">
        <f t="shared" si="5"/>
        <v>-42.2884092675066</v>
      </c>
    </row>
    <row r="111" spans="1:6">
      <c r="A111">
        <v>3890</v>
      </c>
      <c r="B111" s="3">
        <f>'L1'!E111-'L1'!B111</f>
        <v>31.5</v>
      </c>
      <c r="C111" s="3">
        <f>-('L1'!F111-'L1'!C111)</f>
        <v>27</v>
      </c>
      <c r="D111" s="3">
        <f t="shared" si="3"/>
        <v>23.0065990533151</v>
      </c>
      <c r="E111" s="3">
        <f t="shared" si="4"/>
        <v>-5.74810662909371</v>
      </c>
      <c r="F111" s="3">
        <f t="shared" si="5"/>
        <v>-47.0904753658377</v>
      </c>
    </row>
    <row r="112" spans="1:6">
      <c r="A112">
        <v>3910</v>
      </c>
      <c r="B112" s="3">
        <f>'L1'!E112-'L1'!B112</f>
        <v>28</v>
      </c>
      <c r="C112" s="3">
        <f>-('L1'!F112-'L1'!C112)</f>
        <v>29.5</v>
      </c>
      <c r="D112" s="3">
        <f t="shared" si="3"/>
        <v>24.4193284100935</v>
      </c>
      <c r="E112" s="3">
        <f t="shared" si="4"/>
        <v>10.6962590346976</v>
      </c>
      <c r="F112" s="3">
        <f t="shared" si="5"/>
        <v>-46.2184340135259</v>
      </c>
    </row>
    <row r="113" spans="1:6">
      <c r="A113">
        <v>3930</v>
      </c>
      <c r="B113" s="3"/>
      <c r="C113" s="3"/>
      <c r="D113" s="3"/>
      <c r="E113" s="3">
        <f t="shared" si="4"/>
        <v>25.8517924535113</v>
      </c>
      <c r="F113" s="3">
        <f t="shared" si="5"/>
        <v>-39.7773607337211</v>
      </c>
    </row>
    <row r="114" spans="1:6">
      <c r="A114" t="s">
        <v>27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"/>
  <sheetViews>
    <sheetView workbookViewId="0">
      <selection activeCell="B2" sqref="B2"/>
    </sheetView>
  </sheetViews>
  <sheetFormatPr defaultColWidth="9" defaultRowHeight="14.4"/>
  <cols>
    <col min="2" max="2" width="9.87962962962963" style="1" customWidth="1"/>
    <col min="3" max="3" width="10.1296296296296" style="1" customWidth="1"/>
    <col min="4" max="4" width="9.75" style="1" customWidth="1"/>
  </cols>
  <sheetData>
    <row r="1" spans="1:10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25</v>
      </c>
      <c r="J1" s="2" t="s">
        <v>26</v>
      </c>
    </row>
    <row r="2" spans="1:10">
      <c r="A2">
        <v>1710</v>
      </c>
      <c r="B2" s="3">
        <f>'L2'!C2*'L2'!D3-'L2'!D2*'L2'!C3</f>
        <v>58.5106451852994</v>
      </c>
      <c r="C2" s="3">
        <f>'L2'!D2*'L2'!B3-'L2'!B2*'L2'!D3</f>
        <v>118.326581933856</v>
      </c>
      <c r="D2" s="3">
        <f>'L2'!B2*'L2'!C3-'L2'!C2*'L2'!B3</f>
        <v>40.5</v>
      </c>
      <c r="E2" s="3">
        <f t="shared" ref="E2:E65" si="0">SQRT(B2*B2+C2*C2+D2*D2)</f>
        <v>138.075796547221</v>
      </c>
      <c r="F2" s="3">
        <f t="shared" ref="F2:F65" si="1">B2/E2*47.44</f>
        <v>20.1030526493564</v>
      </c>
      <c r="G2" s="3">
        <f t="shared" ref="G2:G65" si="2">C2/E2*47.44</f>
        <v>40.6545765971546</v>
      </c>
      <c r="H2" s="3">
        <f t="shared" ref="H2:H65" si="3">-D2/E2*47.44</f>
        <v>-13.9149658958724</v>
      </c>
      <c r="I2">
        <f t="shared" ref="I2:I65" si="4">COS(3.14/9*((A2-25)/20))*47.44</f>
        <v>-20.6877747637451</v>
      </c>
      <c r="J2">
        <f t="shared" ref="J2:J65" si="5">SIN(3.14/9*((A2-25)/20))*47.44</f>
        <v>-42.6915632804018</v>
      </c>
    </row>
    <row r="3" spans="1:10">
      <c r="A3">
        <v>1730</v>
      </c>
      <c r="B3" s="3">
        <f>'L2'!C3*'L2'!D4-'L2'!D3*'L2'!C4</f>
        <v>156.028387160798</v>
      </c>
      <c r="C3" s="3">
        <f>'L2'!D3*'L2'!B4-'L2'!B3*'L2'!D4</f>
        <v>23.2174769129078</v>
      </c>
      <c r="D3" s="3">
        <f>'L2'!B3*'L2'!C4-'L2'!C3*'L2'!B4</f>
        <v>108</v>
      </c>
      <c r="E3" s="3">
        <f t="shared" si="0"/>
        <v>191.175073778465</v>
      </c>
      <c r="F3" s="3">
        <f t="shared" si="1"/>
        <v>38.7183670999168</v>
      </c>
      <c r="G3" s="3">
        <f t="shared" si="2"/>
        <v>5.76140541221761</v>
      </c>
      <c r="H3" s="3">
        <f t="shared" si="3"/>
        <v>-26.8001465815422</v>
      </c>
      <c r="I3">
        <f t="shared" si="4"/>
        <v>-4.84712588889456</v>
      </c>
      <c r="J3">
        <f t="shared" si="5"/>
        <v>-47.1917256583949</v>
      </c>
    </row>
    <row r="4" spans="1:10">
      <c r="A4">
        <v>1750</v>
      </c>
      <c r="B4" s="3">
        <f>'L2'!C4*'L2'!D5-'L2'!D4*'L2'!C5</f>
        <v>319.839640324415</v>
      </c>
      <c r="C4" s="3">
        <f>'L2'!D4*'L2'!B5-'L2'!B4*'L2'!D5</f>
        <v>-44.2711831411233</v>
      </c>
      <c r="D4" s="3">
        <f>'L2'!B4*'L2'!C5-'L2'!C4*'L2'!B5</f>
        <v>212</v>
      </c>
      <c r="E4" s="3">
        <f t="shared" si="0"/>
        <v>386.265884048237</v>
      </c>
      <c r="F4" s="3">
        <f t="shared" si="1"/>
        <v>39.2817309620215</v>
      </c>
      <c r="G4" s="3">
        <f t="shared" si="2"/>
        <v>-5.43725194211719</v>
      </c>
      <c r="H4" s="3">
        <f t="shared" si="3"/>
        <v>-26.0371946250993</v>
      </c>
      <c r="I4">
        <f t="shared" si="4"/>
        <v>11.5775713079727</v>
      </c>
      <c r="J4">
        <f t="shared" si="5"/>
        <v>-46.0055805594148</v>
      </c>
    </row>
    <row r="5" spans="1:10">
      <c r="A5">
        <v>1770</v>
      </c>
      <c r="B5" s="3">
        <f>'L2'!C5*'L2'!D6-'L2'!D5*'L2'!C6</f>
        <v>50.0094978402177</v>
      </c>
      <c r="C5" s="3">
        <f>'L2'!D5*'L2'!B6-'L2'!B5*'L2'!D6</f>
        <v>69.9061716895973</v>
      </c>
      <c r="D5" s="3">
        <f>'L2'!B5*'L2'!C6-'L2'!C5*'L2'!B6</f>
        <v>57.75</v>
      </c>
      <c r="E5" s="3">
        <f t="shared" si="0"/>
        <v>103.551365102186</v>
      </c>
      <c r="F5" s="3">
        <f t="shared" si="1"/>
        <v>22.9108575748737</v>
      </c>
      <c r="G5" s="3">
        <f t="shared" si="2"/>
        <v>32.0261232836658</v>
      </c>
      <c r="H5" s="3">
        <f t="shared" si="3"/>
        <v>-26.4570148089933</v>
      </c>
      <c r="I5">
        <f t="shared" si="4"/>
        <v>26.6072436487823</v>
      </c>
      <c r="J5">
        <f t="shared" si="5"/>
        <v>-39.2760510414977</v>
      </c>
    </row>
    <row r="6" spans="1:10">
      <c r="A6">
        <v>1790</v>
      </c>
      <c r="B6" s="3">
        <f>'L2'!C6*'L2'!D7-'L2'!D6*'L2'!C7</f>
        <v>134.881494996059</v>
      </c>
      <c r="C6" s="3">
        <f>'L2'!D6*'L2'!B7-'L2'!B6*'L2'!D7</f>
        <v>72.4380234808498</v>
      </c>
      <c r="D6" s="3">
        <f>'L2'!B6*'L2'!C7-'L2'!C6*'L2'!B7</f>
        <v>114.5</v>
      </c>
      <c r="E6" s="3">
        <f t="shared" si="0"/>
        <v>191.181941977228</v>
      </c>
      <c r="F6" s="3">
        <f t="shared" si="1"/>
        <v>33.4695738333656</v>
      </c>
      <c r="G6" s="3">
        <f t="shared" si="2"/>
        <v>17.9748139306004</v>
      </c>
      <c r="H6" s="3">
        <f t="shared" si="3"/>
        <v>-28.4120976271232</v>
      </c>
      <c r="I6">
        <f t="shared" si="4"/>
        <v>38.4309097164389</v>
      </c>
      <c r="J6">
        <f t="shared" si="5"/>
        <v>-27.8140032783294</v>
      </c>
    </row>
    <row r="7" spans="1:10">
      <c r="A7">
        <v>1810</v>
      </c>
      <c r="B7" s="3">
        <f>'L2'!C7*'L2'!D8-'L2'!D7*'L2'!C8</f>
        <v>147.123795059756</v>
      </c>
      <c r="C7" s="3">
        <f>'L2'!D7*'L2'!B8-'L2'!B7*'L2'!D8</f>
        <v>36.9503667213025</v>
      </c>
      <c r="D7" s="3">
        <f>'L2'!B7*'L2'!C8-'L2'!C7*'L2'!B8</f>
        <v>106</v>
      </c>
      <c r="E7" s="3">
        <f t="shared" si="0"/>
        <v>185.058749249053</v>
      </c>
      <c r="F7" s="3">
        <f t="shared" si="1"/>
        <v>37.7153356215637</v>
      </c>
      <c r="G7" s="3">
        <f t="shared" si="2"/>
        <v>9.47226437210756</v>
      </c>
      <c r="H7" s="3">
        <f t="shared" si="3"/>
        <v>-27.1732086183746</v>
      </c>
      <c r="I7">
        <f t="shared" si="4"/>
        <v>45.6238917771294</v>
      </c>
      <c r="J7">
        <f t="shared" si="5"/>
        <v>-13.0005422621051</v>
      </c>
    </row>
    <row r="8" spans="1:10">
      <c r="A8">
        <v>1830</v>
      </c>
      <c r="B8" s="3">
        <f>'L2'!C8*'L2'!D9-'L2'!D8*'L2'!C9</f>
        <v>114.294424364688</v>
      </c>
      <c r="C8" s="3">
        <f>'L2'!D8*'L2'!B9-'L2'!B8*'L2'!D9</f>
        <v>107.466251693916</v>
      </c>
      <c r="D8" s="3">
        <f>'L2'!B8*'L2'!C9-'L2'!C8*'L2'!B9</f>
        <v>126</v>
      </c>
      <c r="E8" s="3">
        <f t="shared" si="0"/>
        <v>201.21682507682</v>
      </c>
      <c r="F8" s="3">
        <f t="shared" si="1"/>
        <v>26.9466904161258</v>
      </c>
      <c r="G8" s="3">
        <f t="shared" si="2"/>
        <v>25.3368423759445</v>
      </c>
      <c r="H8" s="3">
        <f t="shared" si="3"/>
        <v>-29.7064621595035</v>
      </c>
      <c r="I8">
        <f t="shared" si="4"/>
        <v>47.3194805274153</v>
      </c>
      <c r="J8">
        <f t="shared" si="5"/>
        <v>3.37940270100506</v>
      </c>
    </row>
    <row r="9" spans="1:10">
      <c r="A9">
        <v>1850</v>
      </c>
      <c r="B9" s="3">
        <f>'L2'!C9*'L2'!D10-'L2'!D9*'L2'!C10</f>
        <v>125.927720216113</v>
      </c>
      <c r="C9" s="3">
        <f>'L2'!D9*'L2'!B10-'L2'!B9*'L2'!D10</f>
        <v>98.3081251725815</v>
      </c>
      <c r="D9" s="3">
        <f>'L2'!B9*'L2'!C10-'L2'!C9*'L2'!B10</f>
        <v>126</v>
      </c>
      <c r="E9" s="3">
        <f t="shared" si="0"/>
        <v>203.465668341801</v>
      </c>
      <c r="F9" s="3">
        <f t="shared" si="1"/>
        <v>29.3612730626216</v>
      </c>
      <c r="G9" s="3">
        <f t="shared" si="2"/>
        <v>22.9214957795862</v>
      </c>
      <c r="H9" s="3">
        <f t="shared" si="3"/>
        <v>-29.3781257974123</v>
      </c>
      <c r="I9">
        <f t="shared" si="4"/>
        <v>43.3133681388775</v>
      </c>
      <c r="J9">
        <f t="shared" si="5"/>
        <v>19.352150796903</v>
      </c>
    </row>
    <row r="10" spans="1:10">
      <c r="A10">
        <v>1870</v>
      </c>
      <c r="B10" s="3">
        <f>'L2'!C10*'L2'!D11-'L2'!D10*'L2'!C11</f>
        <v>34.7027189294145</v>
      </c>
      <c r="C10" s="3">
        <f>'L2'!D10*'L2'!B11-'L2'!B10*'L2'!D11</f>
        <v>73.1905274303206</v>
      </c>
      <c r="D10" s="3">
        <f>'L2'!B10*'L2'!C11-'L2'!C10*'L2'!B11</f>
        <v>68.5</v>
      </c>
      <c r="E10" s="3">
        <f t="shared" si="0"/>
        <v>106.081958912072</v>
      </c>
      <c r="F10" s="3">
        <f t="shared" si="1"/>
        <v>15.5191043123175</v>
      </c>
      <c r="G10" s="3">
        <f t="shared" si="2"/>
        <v>32.730905960856</v>
      </c>
      <c r="H10" s="3">
        <f t="shared" si="3"/>
        <v>-30.6332955511647</v>
      </c>
      <c r="I10">
        <f t="shared" si="4"/>
        <v>34.0882660722798</v>
      </c>
      <c r="J10">
        <f t="shared" si="5"/>
        <v>32.9930858845525</v>
      </c>
    </row>
    <row r="11" spans="1:10">
      <c r="A11">
        <v>1890</v>
      </c>
      <c r="B11" s="3">
        <f>'L2'!C11*'L2'!D12-'L2'!D11*'L2'!C12</f>
        <v>67.6130606080668</v>
      </c>
      <c r="C11" s="3">
        <f>'L2'!D11*'L2'!B12-'L2'!B11*'L2'!D12</f>
        <v>65.9254648951447</v>
      </c>
      <c r="D11" s="3">
        <f>'L2'!B11*'L2'!C12-'L2'!C11*'L2'!B12</f>
        <v>75.25</v>
      </c>
      <c r="E11" s="3">
        <f t="shared" si="0"/>
        <v>120.748728301507</v>
      </c>
      <c r="F11" s="3">
        <f t="shared" si="1"/>
        <v>26.5639534292857</v>
      </c>
      <c r="G11" s="3">
        <f t="shared" si="2"/>
        <v>25.9009274765724</v>
      </c>
      <c r="H11" s="3">
        <f t="shared" si="3"/>
        <v>-29.5643693330347</v>
      </c>
      <c r="I11">
        <f t="shared" si="4"/>
        <v>20.7557413687781</v>
      </c>
      <c r="J11">
        <f t="shared" si="5"/>
        <v>42.6585606910546</v>
      </c>
    </row>
    <row r="12" spans="1:10">
      <c r="A12">
        <v>1910</v>
      </c>
      <c r="B12" s="3">
        <f>'L2'!C12*'L2'!D13-'L2'!D12*'L2'!C13</f>
        <v>-78.764964575567</v>
      </c>
      <c r="C12" s="3">
        <f>'L2'!D12*'L2'!B13-'L2'!B12*'L2'!D13</f>
        <v>106.410329080376</v>
      </c>
      <c r="D12" s="3">
        <f>'L2'!B12*'L2'!C13-'L2'!C12*'L2'!B13</f>
        <v>61</v>
      </c>
      <c r="E12" s="3">
        <f t="shared" si="0"/>
        <v>145.767204060393</v>
      </c>
      <c r="F12" s="3">
        <f t="shared" si="1"/>
        <v>-25.6340919999863</v>
      </c>
      <c r="G12" s="3">
        <f t="shared" si="2"/>
        <v>34.6312879094639</v>
      </c>
      <c r="H12" s="3">
        <f t="shared" si="3"/>
        <v>-19.8524765474753</v>
      </c>
      <c r="I12">
        <f t="shared" si="4"/>
        <v>4.92227978092198</v>
      </c>
      <c r="J12">
        <f t="shared" si="5"/>
        <v>47.1839460172454</v>
      </c>
    </row>
    <row r="13" spans="1:10">
      <c r="A13">
        <v>1930</v>
      </c>
      <c r="B13" s="3">
        <f>'L2'!C13*'L2'!D14-'L2'!D13*'L2'!C14</f>
        <v>227.552857501472</v>
      </c>
      <c r="C13" s="3">
        <f>'L2'!D13*'L2'!B14-'L2'!B13*'L2'!D14</f>
        <v>67.773748089671</v>
      </c>
      <c r="D13" s="3">
        <f>'L2'!B13*'L2'!C14-'L2'!C13*'L2'!B14</f>
        <v>106</v>
      </c>
      <c r="E13" s="3">
        <f t="shared" si="0"/>
        <v>260.018429899127</v>
      </c>
      <c r="F13" s="3">
        <f t="shared" si="1"/>
        <v>41.5167015817215</v>
      </c>
      <c r="G13" s="3">
        <f t="shared" si="2"/>
        <v>12.3652258442654</v>
      </c>
      <c r="H13" s="3">
        <f t="shared" si="3"/>
        <v>-19.3395522077063</v>
      </c>
      <c r="I13">
        <f t="shared" si="4"/>
        <v>-11.5042857024052</v>
      </c>
      <c r="J13">
        <f t="shared" si="5"/>
        <v>46.0239612645134</v>
      </c>
    </row>
    <row r="14" spans="1:10">
      <c r="A14">
        <v>1950</v>
      </c>
      <c r="B14" s="3">
        <f>'L2'!C14*'L2'!D15-'L2'!D14*'L2'!C15</f>
        <v>-79.518183381268</v>
      </c>
      <c r="C14" s="3">
        <f>'L2'!D14*'L2'!B15-'L2'!B14*'L2'!D15</f>
        <v>146.816695204635</v>
      </c>
      <c r="D14" s="3">
        <f>'L2'!B14*'L2'!C15-'L2'!C14*'L2'!B15</f>
        <v>121.5</v>
      </c>
      <c r="E14" s="3">
        <f t="shared" si="0"/>
        <v>206.495843733155</v>
      </c>
      <c r="F14" s="3">
        <f t="shared" si="1"/>
        <v>-18.2683706916744</v>
      </c>
      <c r="G14" s="3">
        <f t="shared" si="2"/>
        <v>33.7294150554836</v>
      </c>
      <c r="H14" s="3">
        <f t="shared" si="3"/>
        <v>-27.9132010397676</v>
      </c>
      <c r="I14">
        <f t="shared" si="4"/>
        <v>-26.5446567863084</v>
      </c>
      <c r="J14">
        <f t="shared" si="5"/>
        <v>39.3183773329608</v>
      </c>
    </row>
    <row r="15" spans="1:10">
      <c r="A15">
        <v>1970</v>
      </c>
      <c r="B15" s="3">
        <f>'L2'!C15*'L2'!D16-'L2'!D15*'L2'!C16</f>
        <v>60.6554624133501</v>
      </c>
      <c r="C15" s="3">
        <f>'L2'!D15*'L2'!B16-'L2'!B15*'L2'!D16</f>
        <v>87.5554681330641</v>
      </c>
      <c r="D15" s="3">
        <f>'L2'!B15*'L2'!C16-'L2'!C15*'L2'!B16</f>
        <v>80</v>
      </c>
      <c r="E15" s="3">
        <f t="shared" si="0"/>
        <v>133.210529315731</v>
      </c>
      <c r="F15" s="3">
        <f t="shared" si="1"/>
        <v>21.6011087987585</v>
      </c>
      <c r="G15" s="3">
        <f t="shared" si="2"/>
        <v>31.1809541600706</v>
      </c>
      <c r="H15" s="3">
        <f t="shared" si="3"/>
        <v>-28.490240369849</v>
      </c>
      <c r="I15">
        <f t="shared" si="4"/>
        <v>-38.3865629221342</v>
      </c>
      <c r="J15">
        <f t="shared" si="5"/>
        <v>27.875175103038</v>
      </c>
    </row>
    <row r="16" spans="1:10">
      <c r="A16">
        <v>1990</v>
      </c>
      <c r="B16" s="3">
        <f>'L2'!C16*'L2'!D17-'L2'!D16*'L2'!C17</f>
        <v>41.7581878623312</v>
      </c>
      <c r="C16" s="3">
        <f>'L2'!D16*'L2'!B17-'L2'!B16*'L2'!D17</f>
        <v>157.599842639515</v>
      </c>
      <c r="D16" s="3">
        <f>'L2'!B16*'L2'!C17-'L2'!C16*'L2'!B17</f>
        <v>144</v>
      </c>
      <c r="E16" s="3">
        <f t="shared" si="0"/>
        <v>217.525760896372</v>
      </c>
      <c r="F16" s="3">
        <f t="shared" si="1"/>
        <v>9.10700610367123</v>
      </c>
      <c r="G16" s="3">
        <f t="shared" si="2"/>
        <v>34.3708097101215</v>
      </c>
      <c r="H16" s="3">
        <f t="shared" si="3"/>
        <v>-31.4048321074689</v>
      </c>
      <c r="I16">
        <f t="shared" si="4"/>
        <v>-45.6031285620543</v>
      </c>
      <c r="J16">
        <f t="shared" si="5"/>
        <v>13.0731887981757</v>
      </c>
    </row>
    <row r="17" spans="1:10">
      <c r="A17">
        <v>2010</v>
      </c>
      <c r="B17" s="3">
        <f>'L2'!C17*'L2'!D18-'L2'!D17*'L2'!C18</f>
        <v>20.9455173213485</v>
      </c>
      <c r="C17" s="3">
        <f>'L2'!D17*'L2'!B18-'L2'!B17*'L2'!D18</f>
        <v>122.825778006445</v>
      </c>
      <c r="D17" s="3">
        <f>'L2'!B17*'L2'!C18-'L2'!C17*'L2'!B18</f>
        <v>113.75</v>
      </c>
      <c r="E17" s="3">
        <f t="shared" si="0"/>
        <v>168.712622345654</v>
      </c>
      <c r="F17" s="3">
        <f t="shared" si="1"/>
        <v>5.88963248813118</v>
      </c>
      <c r="G17" s="3">
        <f t="shared" si="2"/>
        <v>34.5371604543484</v>
      </c>
      <c r="H17" s="3">
        <f t="shared" si="3"/>
        <v>-31.985158697517</v>
      </c>
      <c r="I17">
        <f t="shared" si="4"/>
        <v>-47.3248027289891</v>
      </c>
      <c r="J17">
        <f t="shared" si="5"/>
        <v>-3.30403490633291</v>
      </c>
    </row>
    <row r="18" spans="1:10">
      <c r="A18">
        <v>2030</v>
      </c>
      <c r="B18" s="3">
        <f>'L2'!C18*'L2'!D19-'L2'!D18*'L2'!C19</f>
        <v>-42.1659137254496</v>
      </c>
      <c r="C18" s="3">
        <f>'L2'!D18*'L2'!B19-'L2'!B18*'L2'!D19</f>
        <v>81.9463577947163</v>
      </c>
      <c r="D18" s="3">
        <f>'L2'!B18*'L2'!C19-'L2'!C18*'L2'!B19</f>
        <v>89.25</v>
      </c>
      <c r="E18" s="3">
        <f t="shared" si="0"/>
        <v>128.291591057722</v>
      </c>
      <c r="F18" s="3">
        <f t="shared" si="1"/>
        <v>-15.5922218334273</v>
      </c>
      <c r="G18" s="3">
        <f t="shared" si="2"/>
        <v>30.3023384598312</v>
      </c>
      <c r="H18" s="3">
        <f t="shared" si="3"/>
        <v>-33.0030983721685</v>
      </c>
      <c r="I18">
        <f t="shared" si="4"/>
        <v>-43.3441344651324</v>
      </c>
      <c r="J18">
        <f t="shared" si="5"/>
        <v>-19.283143091014</v>
      </c>
    </row>
    <row r="19" spans="1:10">
      <c r="A19">
        <v>2050</v>
      </c>
      <c r="B19" s="3">
        <f>'L2'!C19*'L2'!D20-'L2'!D19*'L2'!C20</f>
        <v>170.225852814972</v>
      </c>
      <c r="C19" s="3">
        <f>'L2'!D19*'L2'!B20-'L2'!B19*'L2'!D20</f>
        <v>226.156649238088</v>
      </c>
      <c r="D19" s="3">
        <f>'L2'!B19*'L2'!C20-'L2'!C19*'L2'!B20</f>
        <v>157.5</v>
      </c>
      <c r="E19" s="3">
        <f t="shared" si="0"/>
        <v>323.928882567122</v>
      </c>
      <c r="F19" s="3">
        <f t="shared" si="1"/>
        <v>24.9298994073767</v>
      </c>
      <c r="G19" s="3">
        <f t="shared" si="2"/>
        <v>33.1210707573498</v>
      </c>
      <c r="H19" s="3">
        <f t="shared" si="3"/>
        <v>-23.0661740959507</v>
      </c>
      <c r="I19">
        <f t="shared" si="4"/>
        <v>-34.1407693735286</v>
      </c>
      <c r="J19">
        <f t="shared" si="5"/>
        <v>-32.9387532639523</v>
      </c>
    </row>
    <row r="20" spans="1:10">
      <c r="A20">
        <v>2070</v>
      </c>
      <c r="B20" s="3">
        <f>'L2'!C20*'L2'!D21-'L2'!D20*'L2'!C21</f>
        <v>-93.9709485282478</v>
      </c>
      <c r="C20" s="3">
        <f>'L2'!D20*'L2'!B21-'L2'!B20*'L2'!D21</f>
        <v>96.2374475171549</v>
      </c>
      <c r="D20" s="3">
        <f>'L2'!B20*'L2'!C21-'L2'!C20*'L2'!B21</f>
        <v>155.5</v>
      </c>
      <c r="E20" s="3">
        <f t="shared" si="0"/>
        <v>205.602615430631</v>
      </c>
      <c r="F20" s="3">
        <f t="shared" si="1"/>
        <v>-21.6825150246407</v>
      </c>
      <c r="G20" s="3">
        <f t="shared" si="2"/>
        <v>22.205478761306</v>
      </c>
      <c r="H20" s="3">
        <f t="shared" si="3"/>
        <v>-35.8795046675315</v>
      </c>
      <c r="I20">
        <f t="shared" si="4"/>
        <v>-20.8236553259407</v>
      </c>
      <c r="J20">
        <f t="shared" si="5"/>
        <v>-42.6254498963521</v>
      </c>
    </row>
    <row r="21" spans="1:10">
      <c r="A21">
        <v>2090</v>
      </c>
      <c r="B21" s="3">
        <f>'L2'!C21*'L2'!D22-'L2'!D21*'L2'!C22</f>
        <v>-27.5292790773266</v>
      </c>
      <c r="C21" s="3">
        <f>'L2'!D21*'L2'!B22-'L2'!B21*'L2'!D22</f>
        <v>103.783918132063</v>
      </c>
      <c r="D21" s="3">
        <f>'L2'!B21*'L2'!C22-'L2'!C21*'L2'!B22</f>
        <v>120.75</v>
      </c>
      <c r="E21" s="3">
        <f t="shared" si="0"/>
        <v>161.584421802846</v>
      </c>
      <c r="F21" s="3">
        <f t="shared" si="1"/>
        <v>-8.08239423613401</v>
      </c>
      <c r="G21" s="3">
        <f t="shared" si="2"/>
        <v>30.470196453668</v>
      </c>
      <c r="H21" s="3">
        <f t="shared" si="3"/>
        <v>-35.4513135368294</v>
      </c>
      <c r="I21">
        <f t="shared" si="4"/>
        <v>-4.99742118736579</v>
      </c>
      <c r="J21">
        <f t="shared" si="5"/>
        <v>-47.1760466918972</v>
      </c>
    </row>
    <row r="22" spans="1:10">
      <c r="A22">
        <v>2110</v>
      </c>
      <c r="B22" s="3">
        <f>'L2'!C22*'L2'!D23-'L2'!D22*'L2'!C23</f>
        <v>-47.0652619600842</v>
      </c>
      <c r="C22" s="3">
        <f>'L2'!D22*'L2'!B23-'L2'!B22*'L2'!D23</f>
        <v>142.000241503662</v>
      </c>
      <c r="D22" s="3">
        <f>'L2'!B22*'L2'!C23-'L2'!C22*'L2'!B23</f>
        <v>172.25</v>
      </c>
      <c r="E22" s="3">
        <f t="shared" si="0"/>
        <v>228.143090998763</v>
      </c>
      <c r="F22" s="3">
        <f t="shared" si="1"/>
        <v>-9.78673523538129</v>
      </c>
      <c r="G22" s="3">
        <f t="shared" si="2"/>
        <v>29.5274839463373</v>
      </c>
      <c r="H22" s="3">
        <f t="shared" si="3"/>
        <v>-35.8176088709358</v>
      </c>
      <c r="I22">
        <f t="shared" si="4"/>
        <v>11.4309709157003</v>
      </c>
      <c r="J22">
        <f t="shared" si="5"/>
        <v>-46.0422252277669</v>
      </c>
    </row>
    <row r="23" spans="1:10">
      <c r="A23">
        <v>2130</v>
      </c>
      <c r="B23" s="3">
        <f>'L2'!C23*'L2'!D24-'L2'!D23*'L2'!C24</f>
        <v>52.9859634309729</v>
      </c>
      <c r="C23" s="3">
        <f>'L2'!D23*'L2'!B24-'L2'!B23*'L2'!D24</f>
        <v>154.790465296067</v>
      </c>
      <c r="D23" s="3">
        <f>'L2'!B23*'L2'!C24-'L2'!C23*'L2'!B24</f>
        <v>92.75</v>
      </c>
      <c r="E23" s="3">
        <f t="shared" si="0"/>
        <v>188.06956948768</v>
      </c>
      <c r="F23" s="3">
        <f t="shared" si="1"/>
        <v>13.365554629666</v>
      </c>
      <c r="G23" s="3">
        <f t="shared" si="2"/>
        <v>39.0454430966646</v>
      </c>
      <c r="H23" s="3">
        <f t="shared" si="3"/>
        <v>-23.3959167981625</v>
      </c>
      <c r="I23">
        <f t="shared" si="4"/>
        <v>26.4820025921204</v>
      </c>
      <c r="J23">
        <f t="shared" si="5"/>
        <v>-39.3606038915935</v>
      </c>
    </row>
    <row r="24" spans="1:10">
      <c r="A24">
        <v>2150</v>
      </c>
      <c r="B24" s="3">
        <f>'L2'!C24*'L2'!D25-'L2'!D24*'L2'!C25</f>
        <v>-51.4913734264536</v>
      </c>
      <c r="C24" s="3">
        <f>'L2'!D24*'L2'!B25-'L2'!B24*'L2'!D25</f>
        <v>83.2019895793929</v>
      </c>
      <c r="D24" s="3">
        <f>'L2'!B24*'L2'!C25-'L2'!C24*'L2'!B25</f>
        <v>138.75</v>
      </c>
      <c r="E24" s="3">
        <f t="shared" si="0"/>
        <v>169.780726548427</v>
      </c>
      <c r="F24" s="3">
        <f t="shared" si="1"/>
        <v>-14.387679950552</v>
      </c>
      <c r="G24" s="3">
        <f t="shared" si="2"/>
        <v>23.2482359210575</v>
      </c>
      <c r="H24" s="3">
        <f t="shared" si="3"/>
        <v>-38.7694182597487</v>
      </c>
      <c r="I24">
        <f t="shared" si="4"/>
        <v>38.3421187585882</v>
      </c>
      <c r="J24">
        <f t="shared" si="5"/>
        <v>-27.9362762211129</v>
      </c>
    </row>
    <row r="25" spans="1:10">
      <c r="A25">
        <v>2170</v>
      </c>
      <c r="B25" s="3">
        <f>'L2'!C25*'L2'!D26-'L2'!D25*'L2'!C26</f>
        <v>-16.3974958496497</v>
      </c>
      <c r="C25" s="3">
        <f>'L2'!D25*'L2'!B26-'L2'!B25*'L2'!D26</f>
        <v>113.309495092849</v>
      </c>
      <c r="D25" s="3">
        <f>'L2'!B25*'L2'!C26-'L2'!C25*'L2'!B26</f>
        <v>122.75</v>
      </c>
      <c r="E25" s="3">
        <f t="shared" si="0"/>
        <v>167.855539224464</v>
      </c>
      <c r="F25" s="3">
        <f t="shared" si="1"/>
        <v>-4.63432548429122</v>
      </c>
      <c r="G25" s="3">
        <f t="shared" si="2"/>
        <v>32.0239800964598</v>
      </c>
      <c r="H25" s="3">
        <f t="shared" si="3"/>
        <v>-34.6920931349954</v>
      </c>
      <c r="I25">
        <f t="shared" si="4"/>
        <v>45.5822496725951</v>
      </c>
      <c r="J25">
        <f t="shared" si="5"/>
        <v>-13.1458021735156</v>
      </c>
    </row>
    <row r="26" spans="1:10">
      <c r="A26">
        <v>2190</v>
      </c>
      <c r="B26" s="3">
        <f>'L2'!C26*'L2'!D27-'L2'!D26*'L2'!C27</f>
        <v>-21.8385004419693</v>
      </c>
      <c r="C26" s="3">
        <f>'L2'!D26*'L2'!B27-'L2'!B26*'L2'!D27</f>
        <v>92.3510135319254</v>
      </c>
      <c r="D26" s="3">
        <f>'L2'!B26*'L2'!C27-'L2'!C26*'L2'!B27</f>
        <v>112</v>
      </c>
      <c r="E26" s="3">
        <f t="shared" si="0"/>
        <v>146.797921653979</v>
      </c>
      <c r="F26" s="3">
        <f t="shared" si="1"/>
        <v>-7.05744638135305</v>
      </c>
      <c r="G26" s="3">
        <f t="shared" si="2"/>
        <v>29.8446465221859</v>
      </c>
      <c r="H26" s="3">
        <f t="shared" si="3"/>
        <v>-36.1945178796472</v>
      </c>
      <c r="I26">
        <f t="shared" si="4"/>
        <v>47.3300048890748</v>
      </c>
      <c r="J26">
        <f t="shared" si="5"/>
        <v>3.22865873082796</v>
      </c>
    </row>
    <row r="27" spans="1:10">
      <c r="A27">
        <v>2210</v>
      </c>
      <c r="B27" s="3">
        <f>'L2'!C27*'L2'!D28-'L2'!D27*'L2'!C28</f>
        <v>-72.1334304392536</v>
      </c>
      <c r="C27" s="3">
        <f>'L2'!D27*'L2'!B28-'L2'!B27*'L2'!D28</f>
        <v>-81.4897950025045</v>
      </c>
      <c r="D27" s="3">
        <f>'L2'!B27*'L2'!C28-'L2'!C27*'L2'!B28</f>
        <v>45</v>
      </c>
      <c r="E27" s="3">
        <f t="shared" si="0"/>
        <v>117.765947864758</v>
      </c>
      <c r="F27" s="3">
        <f t="shared" si="1"/>
        <v>-29.057720012308</v>
      </c>
      <c r="G27" s="3">
        <f t="shared" si="2"/>
        <v>-32.8267716178736</v>
      </c>
      <c r="H27" s="3">
        <f t="shared" si="3"/>
        <v>-18.1274811497429</v>
      </c>
      <c r="I27">
        <f t="shared" si="4"/>
        <v>43.3747908470433</v>
      </c>
      <c r="J27">
        <f t="shared" si="5"/>
        <v>19.2140864725662</v>
      </c>
    </row>
    <row r="28" spans="1:10">
      <c r="A28">
        <v>2230</v>
      </c>
      <c r="B28" s="3">
        <f>'L2'!C28*'L2'!D29-'L2'!D28*'L2'!C29</f>
        <v>-75.4409293008666</v>
      </c>
      <c r="C28" s="3">
        <f>'L2'!D28*'L2'!B29-'L2'!B28*'L2'!D29</f>
        <v>75.1155785518769</v>
      </c>
      <c r="D28" s="3">
        <f>'L2'!B28*'L2'!C29-'L2'!C28*'L2'!B29</f>
        <v>162</v>
      </c>
      <c r="E28" s="3">
        <f t="shared" si="0"/>
        <v>193.849642648527</v>
      </c>
      <c r="F28" s="3">
        <f t="shared" si="1"/>
        <v>-18.4623383212634</v>
      </c>
      <c r="G28" s="3">
        <f t="shared" si="2"/>
        <v>18.3827166138349</v>
      </c>
      <c r="H28" s="3">
        <f t="shared" si="3"/>
        <v>-39.6455721816024</v>
      </c>
      <c r="I28">
        <f t="shared" si="4"/>
        <v>34.1931860751823</v>
      </c>
      <c r="J28">
        <f t="shared" si="5"/>
        <v>32.8843370927249</v>
      </c>
    </row>
    <row r="29" spans="1:10">
      <c r="A29">
        <v>2250</v>
      </c>
      <c r="B29" s="3">
        <f>'L2'!C29*'L2'!D30-'L2'!D29*'L2'!C30</f>
        <v>-119.624863329893</v>
      </c>
      <c r="C29" s="3">
        <f>'L2'!D29*'L2'!B30-'L2'!B29*'L2'!D30</f>
        <v>-1.1006473423173</v>
      </c>
      <c r="D29" s="3">
        <f>'L2'!B29*'L2'!C30-'L2'!C29*'L2'!B30</f>
        <v>185.5</v>
      </c>
      <c r="E29" s="3">
        <f t="shared" si="0"/>
        <v>220.72962952732</v>
      </c>
      <c r="F29" s="3">
        <f t="shared" si="1"/>
        <v>-25.7102026969503</v>
      </c>
      <c r="G29" s="3">
        <f t="shared" si="2"/>
        <v>-0.236555056207668</v>
      </c>
      <c r="H29" s="3">
        <f t="shared" si="3"/>
        <v>-39.8683222494641</v>
      </c>
      <c r="I29">
        <f t="shared" si="4"/>
        <v>20.8915164629661</v>
      </c>
      <c r="J29">
        <f t="shared" si="5"/>
        <v>42.5922309802811</v>
      </c>
    </row>
    <row r="30" spans="1:10">
      <c r="A30">
        <v>2270</v>
      </c>
      <c r="B30" s="3">
        <f>'L2'!C30*'L2'!D31-'L2'!D30*'L2'!C31</f>
        <v>-47.2016314770828</v>
      </c>
      <c r="C30" s="3">
        <f>'L2'!D30*'L2'!B31-'L2'!B30*'L2'!D31</f>
        <v>98.1863378322612</v>
      </c>
      <c r="D30" s="3">
        <f>'L2'!B30*'L2'!C31-'L2'!C30*'L2'!B31</f>
        <v>112.5</v>
      </c>
      <c r="E30" s="3">
        <f t="shared" si="0"/>
        <v>156.603962117851</v>
      </c>
      <c r="F30" s="3">
        <f t="shared" si="1"/>
        <v>-14.29877869621</v>
      </c>
      <c r="G30" s="3">
        <f t="shared" si="2"/>
        <v>29.7435633413743</v>
      </c>
      <c r="H30" s="3">
        <f t="shared" si="3"/>
        <v>-34.0795975262982</v>
      </c>
      <c r="I30">
        <f t="shared" si="4"/>
        <v>5.07254991762627</v>
      </c>
      <c r="J30">
        <f t="shared" si="5"/>
        <v>47.1680277023874</v>
      </c>
    </row>
    <row r="31" spans="1:10">
      <c r="A31">
        <v>2290</v>
      </c>
      <c r="B31" s="3">
        <f>'L2'!C31*'L2'!D32-'L2'!D31*'L2'!C32</f>
        <v>-57.3258260417706</v>
      </c>
      <c r="C31" s="3">
        <f>'L2'!D31*'L2'!B32-'L2'!B31*'L2'!D32</f>
        <v>19.9773439957131</v>
      </c>
      <c r="D31" s="3">
        <f>'L2'!B31*'L2'!C32-'L2'!C31*'L2'!B32</f>
        <v>105</v>
      </c>
      <c r="E31" s="3">
        <f t="shared" si="0"/>
        <v>121.286209457194</v>
      </c>
      <c r="F31" s="3">
        <f t="shared" si="1"/>
        <v>-22.4224765502413</v>
      </c>
      <c r="G31" s="3">
        <f t="shared" si="2"/>
        <v>7.81395678369446</v>
      </c>
      <c r="H31" s="3">
        <f t="shared" si="3"/>
        <v>-41.0697969892284</v>
      </c>
      <c r="I31">
        <f t="shared" si="4"/>
        <v>-11.3576271338242</v>
      </c>
      <c r="J31">
        <f t="shared" si="5"/>
        <v>46.0603724028478</v>
      </c>
    </row>
    <row r="32" spans="1:10">
      <c r="A32">
        <v>2310</v>
      </c>
      <c r="B32" s="3">
        <f>'L2'!C32*'L2'!D33-'L2'!D32*'L2'!C33</f>
        <v>-81.9382086374744</v>
      </c>
      <c r="C32" s="3">
        <f>'L2'!D32*'L2'!B33-'L2'!B32*'L2'!D33</f>
        <v>128.520247818488</v>
      </c>
      <c r="D32" s="3">
        <f>'L2'!B32*'L2'!C33-'L2'!C32*'L2'!B33</f>
        <v>171.5</v>
      </c>
      <c r="E32" s="3">
        <f t="shared" si="0"/>
        <v>229.441875284448</v>
      </c>
      <c r="F32" s="3">
        <f t="shared" si="1"/>
        <v>-16.9417575276647</v>
      </c>
      <c r="G32" s="3">
        <f t="shared" si="2"/>
        <v>26.573181329478</v>
      </c>
      <c r="H32" s="3">
        <f t="shared" si="3"/>
        <v>-35.4597868846458</v>
      </c>
      <c r="I32">
        <f t="shared" si="4"/>
        <v>-26.4192812251432</v>
      </c>
      <c r="J32">
        <f t="shared" si="5"/>
        <v>39.4027306102863</v>
      </c>
    </row>
    <row r="33" spans="1:10">
      <c r="A33">
        <v>2330</v>
      </c>
      <c r="B33" s="3">
        <f>'L2'!C33*'L2'!D34-'L2'!D33*'L2'!C34</f>
        <v>-85.9525623467874</v>
      </c>
      <c r="C33" s="3">
        <f>'L2'!D33*'L2'!B34-'L2'!B33*'L2'!D34</f>
        <v>-94.7267252779125</v>
      </c>
      <c r="D33" s="3">
        <f>'L2'!B33*'L2'!C34-'L2'!C33*'L2'!B34</f>
        <v>169</v>
      </c>
      <c r="E33" s="3">
        <f t="shared" si="0"/>
        <v>211.948096136426</v>
      </c>
      <c r="F33" s="3">
        <f t="shared" si="1"/>
        <v>-19.2386231915334</v>
      </c>
      <c r="G33" s="3">
        <f t="shared" si="2"/>
        <v>-21.2025299075657</v>
      </c>
      <c r="H33" s="3">
        <f t="shared" si="3"/>
        <v>-37.8269970155308</v>
      </c>
      <c r="I33">
        <f t="shared" si="4"/>
        <v>-38.2975773385356</v>
      </c>
      <c r="J33">
        <f t="shared" si="5"/>
        <v>27.9973064775683</v>
      </c>
    </row>
    <row r="34" spans="1:10">
      <c r="A34">
        <v>2350</v>
      </c>
      <c r="B34" s="3">
        <f>'L2'!C34*'L2'!D35-'L2'!D34*'L2'!C35</f>
        <v>-109.649264417155</v>
      </c>
      <c r="C34" s="3">
        <f>'L2'!D34*'L2'!B35-'L2'!B34*'L2'!D35</f>
        <v>-93.553697858134</v>
      </c>
      <c r="D34" s="3">
        <f>'L2'!B34*'L2'!C35-'L2'!C34*'L2'!B35</f>
        <v>212</v>
      </c>
      <c r="E34" s="3">
        <f t="shared" si="0"/>
        <v>256.357671174775</v>
      </c>
      <c r="F34" s="3">
        <f t="shared" si="1"/>
        <v>-20.291029638834</v>
      </c>
      <c r="G34" s="3">
        <f t="shared" si="2"/>
        <v>-17.3124814484841</v>
      </c>
      <c r="H34" s="3">
        <f t="shared" si="3"/>
        <v>-39.2314376781154</v>
      </c>
      <c r="I34">
        <f t="shared" si="4"/>
        <v>-45.5612551617119</v>
      </c>
      <c r="J34">
        <f t="shared" si="5"/>
        <v>13.2183822039378</v>
      </c>
    </row>
    <row r="35" spans="1:10">
      <c r="A35">
        <v>2370</v>
      </c>
      <c r="B35" s="3">
        <f>'L2'!C35*'L2'!D36-'L2'!D35*'L2'!C36</f>
        <v>-13.8747964672838</v>
      </c>
      <c r="C35" s="3">
        <f>'L2'!D35*'L2'!B36-'L2'!B35*'L2'!D36</f>
        <v>93.5928510135476</v>
      </c>
      <c r="D35" s="3">
        <f>'L2'!B35*'L2'!C36-'L2'!C35*'L2'!B36</f>
        <v>-8</v>
      </c>
      <c r="E35" s="3">
        <f t="shared" si="0"/>
        <v>94.9533134643161</v>
      </c>
      <c r="F35" s="3">
        <f t="shared" si="1"/>
        <v>-6.93204186766274</v>
      </c>
      <c r="G35" s="3">
        <f t="shared" si="2"/>
        <v>46.7602939812236</v>
      </c>
      <c r="H35" s="3">
        <f t="shared" si="3"/>
        <v>3.99691159953702</v>
      </c>
      <c r="I35">
        <f t="shared" si="4"/>
        <v>-47.3350869944771</v>
      </c>
      <c r="J35">
        <f t="shared" si="5"/>
        <v>-3.15327436568511</v>
      </c>
    </row>
    <row r="36" spans="1:10">
      <c r="A36">
        <v>2390</v>
      </c>
      <c r="B36" s="3">
        <f>'L2'!C36*'L2'!D37-'L2'!D36*'L2'!C37</f>
        <v>-97.0617174313035</v>
      </c>
      <c r="C36" s="3">
        <f>'L2'!D36*'L2'!B37-'L2'!B36*'L2'!D37</f>
        <v>25.2664003423505</v>
      </c>
      <c r="D36" s="3">
        <f>'L2'!B36*'L2'!C37-'L2'!C36*'L2'!B37</f>
        <v>168</v>
      </c>
      <c r="E36" s="3">
        <f t="shared" si="0"/>
        <v>195.661360459786</v>
      </c>
      <c r="F36" s="3">
        <f t="shared" si="1"/>
        <v>-23.5335574899441</v>
      </c>
      <c r="G36" s="3">
        <f t="shared" si="2"/>
        <v>6.12608452391633</v>
      </c>
      <c r="H36" s="3">
        <f t="shared" si="3"/>
        <v>-40.7332341003428</v>
      </c>
      <c r="I36">
        <f t="shared" si="4"/>
        <v>-43.4053372068487</v>
      </c>
      <c r="J36">
        <f t="shared" si="5"/>
        <v>-19.144981116725</v>
      </c>
    </row>
    <row r="37" spans="1:10">
      <c r="A37">
        <v>2410</v>
      </c>
      <c r="B37" s="3">
        <f>'L2'!C37*'L2'!D38-'L2'!D37*'L2'!C38</f>
        <v>-88.3611385058921</v>
      </c>
      <c r="C37" s="3">
        <f>'L2'!D37*'L2'!B38-'L2'!B37*'L2'!D38</f>
        <v>79.5789444658484</v>
      </c>
      <c r="D37" s="3">
        <f>'L2'!B37*'L2'!C38-'L2'!C37*'L2'!B38</f>
        <v>121.5</v>
      </c>
      <c r="E37" s="3">
        <f t="shared" si="0"/>
        <v>170.008085691111</v>
      </c>
      <c r="F37" s="3">
        <f t="shared" si="1"/>
        <v>-24.6567826093621</v>
      </c>
      <c r="G37" s="3">
        <f t="shared" si="2"/>
        <v>22.2061504316865</v>
      </c>
      <c r="H37" s="3">
        <f t="shared" si="3"/>
        <v>-33.9040344849985</v>
      </c>
      <c r="I37">
        <f t="shared" si="4"/>
        <v>-34.2455160442835</v>
      </c>
      <c r="J37">
        <f t="shared" si="5"/>
        <v>-32.8298375088991</v>
      </c>
    </row>
    <row r="38" spans="1:10">
      <c r="A38">
        <v>2430</v>
      </c>
      <c r="B38" s="3">
        <f>'L2'!C38*'L2'!D39-'L2'!D38*'L2'!C39</f>
        <v>-53.5233201581437</v>
      </c>
      <c r="C38" s="3">
        <f>'L2'!D38*'L2'!B39-'L2'!B38*'L2'!D39</f>
        <v>-80.2408235700111</v>
      </c>
      <c r="D38" s="3">
        <f>'L2'!B38*'L2'!C39-'L2'!C38*'L2'!B39</f>
        <v>171.75</v>
      </c>
      <c r="E38" s="3">
        <f t="shared" si="0"/>
        <v>196.98070481127</v>
      </c>
      <c r="F38" s="3">
        <f t="shared" si="1"/>
        <v>-12.8903300997685</v>
      </c>
      <c r="G38" s="3">
        <f t="shared" si="2"/>
        <v>-19.3248606446429</v>
      </c>
      <c r="H38" s="3">
        <f t="shared" si="3"/>
        <v>-41.3635437430612</v>
      </c>
      <c r="I38">
        <f t="shared" si="4"/>
        <v>-20.9593246077215</v>
      </c>
      <c r="J38">
        <f t="shared" si="5"/>
        <v>-42.558904027103</v>
      </c>
    </row>
    <row r="39" spans="1:10">
      <c r="A39">
        <v>2450</v>
      </c>
      <c r="B39" s="3">
        <f>'L2'!C39*'L2'!D40-'L2'!D39*'L2'!C40</f>
        <v>-79.7524460476347</v>
      </c>
      <c r="C39" s="3">
        <f>'L2'!D39*'L2'!B40-'L2'!B39*'L2'!D40</f>
        <v>48.2614445506492</v>
      </c>
      <c r="D39" s="3">
        <f>'L2'!B39*'L2'!C40-'L2'!C39*'L2'!B40</f>
        <v>105.5</v>
      </c>
      <c r="E39" s="3">
        <f t="shared" si="0"/>
        <v>140.783058926478</v>
      </c>
      <c r="F39" s="3">
        <f t="shared" si="1"/>
        <v>-26.8743701788412</v>
      </c>
      <c r="G39" s="3">
        <f t="shared" si="2"/>
        <v>16.2627729994023</v>
      </c>
      <c r="H39" s="3">
        <f t="shared" si="3"/>
        <v>-35.5505842689051</v>
      </c>
      <c r="I39">
        <f t="shared" si="4"/>
        <v>-5.14766578113603</v>
      </c>
      <c r="J39">
        <f t="shared" si="5"/>
        <v>-47.1598890690566</v>
      </c>
    </row>
    <row r="40" spans="1:10">
      <c r="A40">
        <v>2470</v>
      </c>
      <c r="B40" s="3">
        <f>'L2'!C40*'L2'!D41-'L2'!D40*'L2'!C41</f>
        <v>-13.6106848249258</v>
      </c>
      <c r="C40" s="3">
        <f>'L2'!D40*'L2'!B41-'L2'!B40*'L2'!D41</f>
        <v>-136.520842815843</v>
      </c>
      <c r="D40" s="3">
        <f>'L2'!B40*'L2'!C41-'L2'!C40*'L2'!B41</f>
        <v>177</v>
      </c>
      <c r="E40" s="3">
        <f t="shared" si="0"/>
        <v>223.94684919541</v>
      </c>
      <c r="F40" s="3">
        <f t="shared" si="1"/>
        <v>-2.88323274211851</v>
      </c>
      <c r="G40" s="3">
        <f t="shared" si="2"/>
        <v>-28.9200263654182</v>
      </c>
      <c r="H40" s="3">
        <f t="shared" si="3"/>
        <v>-37.4949682487969</v>
      </c>
      <c r="I40">
        <f t="shared" si="4"/>
        <v>11.2842545428166</v>
      </c>
      <c r="J40">
        <f t="shared" si="5"/>
        <v>-46.078402743725</v>
      </c>
    </row>
    <row r="41" spans="1:10">
      <c r="A41">
        <v>2490</v>
      </c>
      <c r="B41" s="3">
        <f>'L2'!C41*'L2'!D42-'L2'!D41*'L2'!C42</f>
        <v>42.6981064866036</v>
      </c>
      <c r="C41" s="3">
        <f>'L2'!D41*'L2'!B42-'L2'!B41*'L2'!D42</f>
        <v>-57.4091246713795</v>
      </c>
      <c r="D41" s="3">
        <f>'L2'!B41*'L2'!C42-'L2'!C41*'L2'!B42</f>
        <v>-5.5</v>
      </c>
      <c r="E41" s="3">
        <f t="shared" si="0"/>
        <v>71.7578280961411</v>
      </c>
      <c r="F41" s="3">
        <f t="shared" si="1"/>
        <v>28.2282536340228</v>
      </c>
      <c r="G41" s="3">
        <f t="shared" si="2"/>
        <v>-37.9538922326539</v>
      </c>
      <c r="H41" s="3">
        <f t="shared" si="3"/>
        <v>3.63611897018984</v>
      </c>
      <c r="I41">
        <f t="shared" si="4"/>
        <v>26.3564928444724</v>
      </c>
      <c r="J41">
        <f t="shared" si="5"/>
        <v>-39.4447573821829</v>
      </c>
    </row>
    <row r="42" spans="1:10">
      <c r="A42">
        <v>2510</v>
      </c>
      <c r="B42" s="3">
        <f>'L2'!C42*'L2'!D43-'L2'!D42*'L2'!C43</f>
        <v>-149.909306243398</v>
      </c>
      <c r="C42" s="3">
        <f>'L2'!D42*'L2'!B43-'L2'!B42*'L2'!D43</f>
        <v>-79.8948004222067</v>
      </c>
      <c r="D42" s="3">
        <f>'L2'!B42*'L2'!C43-'L2'!C42*'L2'!B43</f>
        <v>312.75</v>
      </c>
      <c r="E42" s="3">
        <f t="shared" si="0"/>
        <v>355.905242631913</v>
      </c>
      <c r="F42" s="3">
        <f t="shared" si="1"/>
        <v>-19.9819969933455</v>
      </c>
      <c r="G42" s="3">
        <f t="shared" si="2"/>
        <v>-10.6494900271796</v>
      </c>
      <c r="H42" s="3">
        <f t="shared" si="3"/>
        <v>-41.6876691399139</v>
      </c>
      <c r="I42">
        <f t="shared" si="4"/>
        <v>38.2529387749577</v>
      </c>
      <c r="J42">
        <f t="shared" si="5"/>
        <v>-28.0582657175981</v>
      </c>
    </row>
    <row r="43" spans="1:10">
      <c r="A43">
        <v>2530</v>
      </c>
      <c r="B43" s="3">
        <f>'L2'!C43*'L2'!D44-'L2'!D43*'L2'!C44</f>
        <v>-10.9579149476531</v>
      </c>
      <c r="C43" s="3">
        <f>'L2'!D43*'L2'!B44-'L2'!B43*'L2'!D44</f>
        <v>-10.9579149476531</v>
      </c>
      <c r="D43" s="3">
        <f>'L2'!B43*'L2'!C44-'L2'!C43*'L2'!B44</f>
        <v>29.75</v>
      </c>
      <c r="E43" s="3">
        <f t="shared" si="0"/>
        <v>33.5442141061614</v>
      </c>
      <c r="F43" s="3">
        <f t="shared" si="1"/>
        <v>-15.4972623138957</v>
      </c>
      <c r="G43" s="3">
        <f t="shared" si="2"/>
        <v>-15.4972623138957</v>
      </c>
      <c r="H43" s="3">
        <f t="shared" si="3"/>
        <v>-42.0740219321688</v>
      </c>
      <c r="I43">
        <f t="shared" si="4"/>
        <v>45.5401450826584</v>
      </c>
      <c r="J43">
        <f t="shared" si="5"/>
        <v>-13.2909287053398</v>
      </c>
    </row>
    <row r="44" spans="1:10">
      <c r="A44">
        <v>2550</v>
      </c>
      <c r="B44" s="3">
        <f>'L2'!C44*'L2'!D45-'L2'!D44*'L2'!C45</f>
        <v>269.782643192702</v>
      </c>
      <c r="C44" s="3">
        <f>'L2'!D44*'L2'!B45-'L2'!B44*'L2'!D45</f>
        <v>-517.135677686385</v>
      </c>
      <c r="D44" s="3">
        <f>'L2'!B44*'L2'!C45-'L2'!C44*'L2'!B45</f>
        <v>344.75</v>
      </c>
      <c r="E44" s="3">
        <f t="shared" si="0"/>
        <v>677.543021662977</v>
      </c>
      <c r="F44" s="3">
        <f t="shared" si="1"/>
        <v>18.8895585724562</v>
      </c>
      <c r="G44" s="3">
        <f t="shared" si="2"/>
        <v>-36.2086476652478</v>
      </c>
      <c r="H44" s="3">
        <f t="shared" si="3"/>
        <v>-24.1386000255129</v>
      </c>
      <c r="I44">
        <f t="shared" si="4"/>
        <v>47.3400490323048</v>
      </c>
      <c r="J44">
        <f t="shared" si="5"/>
        <v>3.07788200212018</v>
      </c>
    </row>
    <row r="45" spans="1:10">
      <c r="A45">
        <v>2570</v>
      </c>
      <c r="B45" s="3">
        <f>'L2'!C45*'L2'!D46-'L2'!D45*'L2'!C46</f>
        <v>-605.262833193566</v>
      </c>
      <c r="C45" s="3">
        <f>'L2'!D45*'L2'!B46-'L2'!B45*'L2'!D46</f>
        <v>303.040881404325</v>
      </c>
      <c r="D45" s="3">
        <f>'L2'!B45*'L2'!C46-'L2'!C45*'L2'!B46</f>
        <v>62.5</v>
      </c>
      <c r="E45" s="3">
        <f t="shared" si="0"/>
        <v>679.766962309741</v>
      </c>
      <c r="F45" s="3">
        <f t="shared" si="1"/>
        <v>-42.2404594497183</v>
      </c>
      <c r="G45" s="3">
        <f t="shared" si="2"/>
        <v>21.1488057097876</v>
      </c>
      <c r="H45" s="3">
        <f t="shared" si="3"/>
        <v>-4.36178891354972</v>
      </c>
      <c r="I45">
        <f t="shared" si="4"/>
        <v>43.4357734670665</v>
      </c>
      <c r="J45">
        <f t="shared" si="5"/>
        <v>19.0758271987791</v>
      </c>
    </row>
    <row r="46" spans="1:10">
      <c r="A46">
        <v>2590</v>
      </c>
      <c r="B46" s="3">
        <f>'L2'!C46*'L2'!D47-'L2'!D46*'L2'!C47</f>
        <v>65.5377448078524</v>
      </c>
      <c r="C46" s="3">
        <f>'L2'!D46*'L2'!B47-'L2'!B46*'L2'!D47</f>
        <v>-40.4949478281097</v>
      </c>
      <c r="D46" s="3">
        <f>'L2'!B46*'L2'!C47-'L2'!C46*'L2'!B47</f>
        <v>8.5</v>
      </c>
      <c r="E46" s="3">
        <f t="shared" si="0"/>
        <v>77.5066887055595</v>
      </c>
      <c r="F46" s="3">
        <f t="shared" si="1"/>
        <v>40.114094223477</v>
      </c>
      <c r="G46" s="3">
        <f t="shared" si="2"/>
        <v>-24.7859940483785</v>
      </c>
      <c r="H46" s="3">
        <f t="shared" si="3"/>
        <v>-5.20264775511014</v>
      </c>
      <c r="I46">
        <f t="shared" si="4"/>
        <v>34.2977591480949</v>
      </c>
      <c r="J46">
        <f t="shared" si="5"/>
        <v>32.7752546507158</v>
      </c>
    </row>
    <row r="47" spans="1:10">
      <c r="A47">
        <v>2610</v>
      </c>
      <c r="B47" s="3">
        <f>'L2'!C47*'L2'!D48-'L2'!D47*'L2'!C48</f>
        <v>56.2626822405326</v>
      </c>
      <c r="C47" s="3">
        <f>'L2'!D47*'L2'!B48-'L2'!B47*'L2'!D48</f>
        <v>-98.1632517986543</v>
      </c>
      <c r="D47" s="3">
        <f>'L2'!B47*'L2'!C48-'L2'!C47*'L2'!B48</f>
        <v>122.75</v>
      </c>
      <c r="E47" s="3">
        <f t="shared" si="0"/>
        <v>166.940336397724</v>
      </c>
      <c r="F47" s="3">
        <f t="shared" si="1"/>
        <v>15.9883566972809</v>
      </c>
      <c r="G47" s="3">
        <f t="shared" si="2"/>
        <v>-27.8953832597624</v>
      </c>
      <c r="H47" s="3">
        <f t="shared" si="3"/>
        <v>-34.8822826505302</v>
      </c>
      <c r="I47">
        <f t="shared" si="4"/>
        <v>21.0270795882085</v>
      </c>
      <c r="J47">
        <f t="shared" si="5"/>
        <v>42.525469121353</v>
      </c>
    </row>
    <row r="48" spans="1:10">
      <c r="A48">
        <v>2630</v>
      </c>
      <c r="B48" s="3">
        <f>'L2'!C48*'L2'!D49-'L2'!D48*'L2'!C49</f>
        <v>-174.884895089038</v>
      </c>
      <c r="C48" s="3">
        <f>'L2'!D48*'L2'!B49-'L2'!B48*'L2'!D49</f>
        <v>10.0521430857928</v>
      </c>
      <c r="D48" s="3">
        <f>'L2'!B48*'L2'!C49-'L2'!C48*'L2'!B49</f>
        <v>119.75</v>
      </c>
      <c r="E48" s="3">
        <f t="shared" si="0"/>
        <v>212.192918380707</v>
      </c>
      <c r="F48" s="3">
        <f t="shared" si="1"/>
        <v>-39.099040092086</v>
      </c>
      <c r="G48" s="3">
        <f t="shared" si="2"/>
        <v>2.2473590147548</v>
      </c>
      <c r="H48" s="3">
        <f t="shared" si="3"/>
        <v>-26.772524000106</v>
      </c>
      <c r="I48">
        <f t="shared" si="4"/>
        <v>5.22276858736062</v>
      </c>
      <c r="J48">
        <f t="shared" si="5"/>
        <v>47.1516308125486</v>
      </c>
    </row>
    <row r="49" spans="1:10">
      <c r="A49">
        <v>2650</v>
      </c>
      <c r="B49" s="3">
        <f>'L2'!C49*'L2'!D50-'L2'!D49*'L2'!C50</f>
        <v>106.420213853028</v>
      </c>
      <c r="C49" s="3">
        <f>'L2'!D49*'L2'!B50-'L2'!B49*'L2'!D50</f>
        <v>-117.675832927785</v>
      </c>
      <c r="D49" s="3">
        <f>'L2'!B49*'L2'!C50-'L2'!C49*'L2'!B50</f>
        <v>162</v>
      </c>
      <c r="E49" s="3">
        <f t="shared" si="0"/>
        <v>226.752868938349</v>
      </c>
      <c r="F49" s="3">
        <f t="shared" si="1"/>
        <v>22.2646574167945</v>
      </c>
      <c r="G49" s="3">
        <f t="shared" si="2"/>
        <v>-24.6194967244799</v>
      </c>
      <c r="H49" s="3">
        <f t="shared" si="3"/>
        <v>-33.8927575028368</v>
      </c>
      <c r="I49">
        <f t="shared" si="4"/>
        <v>-11.2108533287905</v>
      </c>
      <c r="J49">
        <f t="shared" si="5"/>
        <v>46.0963162046638</v>
      </c>
    </row>
    <row r="50" spans="1:10">
      <c r="A50">
        <v>2670</v>
      </c>
      <c r="B50" s="3">
        <f>'L2'!C50*'L2'!D51-'L2'!D50*'L2'!C51</f>
        <v>53.927594069163</v>
      </c>
      <c r="C50" s="3">
        <f>'L2'!D50*'L2'!B51-'L2'!B50*'L2'!D51</f>
        <v>-80.9060842591227</v>
      </c>
      <c r="D50" s="3">
        <f>'L2'!B50*'L2'!C51-'L2'!C50*'L2'!B51</f>
        <v>121.5</v>
      </c>
      <c r="E50" s="3">
        <f t="shared" si="0"/>
        <v>155.615647902879</v>
      </c>
      <c r="F50" s="3">
        <f t="shared" si="1"/>
        <v>16.4400244905819</v>
      </c>
      <c r="G50" s="3">
        <f t="shared" si="2"/>
        <v>-24.6645159980842</v>
      </c>
      <c r="H50" s="3">
        <f t="shared" si="3"/>
        <v>-37.0397198332995</v>
      </c>
      <c r="I50">
        <f t="shared" si="4"/>
        <v>-26.2936376093736</v>
      </c>
      <c r="J50">
        <f t="shared" si="5"/>
        <v>39.4866841006805</v>
      </c>
    </row>
    <row r="51" spans="1:10">
      <c r="A51">
        <v>2690</v>
      </c>
      <c r="B51" s="3">
        <f>'L2'!C51*'L2'!D52-'L2'!D51*'L2'!C52</f>
        <v>85.1090203165612</v>
      </c>
      <c r="C51" s="3">
        <f>'L2'!D51*'L2'!B52-'L2'!B51*'L2'!D52</f>
        <v>-96.6141791152943</v>
      </c>
      <c r="D51" s="3">
        <f>'L2'!B51*'L2'!C52-'L2'!C51*'L2'!B52</f>
        <v>137.5</v>
      </c>
      <c r="E51" s="3">
        <f t="shared" si="0"/>
        <v>188.372224452988</v>
      </c>
      <c r="F51" s="3">
        <f t="shared" si="1"/>
        <v>21.4340088383111</v>
      </c>
      <c r="G51" s="3">
        <f t="shared" si="2"/>
        <v>-24.3314887348131</v>
      </c>
      <c r="H51" s="3">
        <f t="shared" si="3"/>
        <v>-34.6282474443462</v>
      </c>
      <c r="I51">
        <f t="shared" si="4"/>
        <v>-38.208203181082</v>
      </c>
      <c r="J51">
        <f t="shared" si="5"/>
        <v>28.1191537865768</v>
      </c>
    </row>
    <row r="52" spans="1:10">
      <c r="A52">
        <v>2710</v>
      </c>
      <c r="B52" s="3">
        <f>'L2'!C52*'L2'!D53-'L2'!D52*'L2'!C53</f>
        <v>18.0294856916181</v>
      </c>
      <c r="C52" s="3">
        <f>'L2'!D52*'L2'!B53-'L2'!B52*'L2'!D53</f>
        <v>-89.7924291340077</v>
      </c>
      <c r="D52" s="3">
        <f>'L2'!B52*'L2'!C53-'L2'!C52*'L2'!B53</f>
        <v>140</v>
      </c>
      <c r="E52" s="3">
        <f t="shared" si="0"/>
        <v>167.295375560982</v>
      </c>
      <c r="F52" s="3">
        <f t="shared" si="1"/>
        <v>5.11262668404474</v>
      </c>
      <c r="G52" s="3">
        <f t="shared" si="2"/>
        <v>-25.4624661550467</v>
      </c>
      <c r="H52" s="3">
        <f t="shared" si="3"/>
        <v>-39.6998421368738</v>
      </c>
      <c r="I52">
        <f t="shared" si="4"/>
        <v>-45.5189194889812</v>
      </c>
      <c r="J52">
        <f t="shared" si="5"/>
        <v>13.363441493704</v>
      </c>
    </row>
    <row r="53" spans="1:10">
      <c r="A53">
        <v>2730</v>
      </c>
      <c r="B53" s="3">
        <f>'L2'!C53*'L2'!D54-'L2'!D53*'L2'!C54</f>
        <v>-50.3434664645301</v>
      </c>
      <c r="C53" s="3">
        <f>'L2'!D53*'L2'!B54-'L2'!B53*'L2'!D54</f>
        <v>-113.167658995212</v>
      </c>
      <c r="D53" s="3">
        <f>'L2'!B53*'L2'!C54-'L2'!C53*'L2'!B54</f>
        <v>180.75</v>
      </c>
      <c r="E53" s="3">
        <f t="shared" si="0"/>
        <v>219.116284557131</v>
      </c>
      <c r="F53" s="3">
        <f t="shared" si="1"/>
        <v>-10.899664778017</v>
      </c>
      <c r="G53" s="3">
        <f t="shared" si="2"/>
        <v>-24.5014821859716</v>
      </c>
      <c r="H53" s="3">
        <f t="shared" si="3"/>
        <v>-39.1334674980045</v>
      </c>
      <c r="I53">
        <f t="shared" si="4"/>
        <v>-47.3448909899716</v>
      </c>
      <c r="J53">
        <f t="shared" si="5"/>
        <v>-3.00248183136929</v>
      </c>
    </row>
    <row r="54" spans="1:10">
      <c r="A54">
        <v>2750</v>
      </c>
      <c r="B54" s="3">
        <f>'L2'!C54*'L2'!D55-'L2'!D54*'L2'!C55</f>
        <v>130.808531797416</v>
      </c>
      <c r="C54" s="3">
        <f>'L2'!D54*'L2'!B55-'L2'!B54*'L2'!D55</f>
        <v>6.96491058348003</v>
      </c>
      <c r="D54" s="3">
        <f>'L2'!B54*'L2'!C55-'L2'!C54*'L2'!B55</f>
        <v>4.5</v>
      </c>
      <c r="E54" s="3">
        <f t="shared" si="0"/>
        <v>131.071095098925</v>
      </c>
      <c r="F54" s="3">
        <f t="shared" si="1"/>
        <v>47.3449675825613</v>
      </c>
      <c r="G54" s="3">
        <f t="shared" si="2"/>
        <v>2.52088652979449</v>
      </c>
      <c r="H54" s="3">
        <f t="shared" si="3"/>
        <v>-1.62873438906479</v>
      </c>
      <c r="I54">
        <f t="shared" si="4"/>
        <v>-43.4660995504939</v>
      </c>
      <c r="J54">
        <f t="shared" si="5"/>
        <v>-19.0066248941403</v>
      </c>
    </row>
    <row r="55" spans="1:10">
      <c r="A55">
        <v>2770</v>
      </c>
      <c r="B55" s="3">
        <f>'L2'!C55*'L2'!D56-'L2'!D55*'L2'!C56</f>
        <v>97.8841275375322</v>
      </c>
      <c r="C55" s="3">
        <f>'L2'!D55*'L2'!B56-'L2'!B55*'L2'!D56</f>
        <v>-89.5186890597923</v>
      </c>
      <c r="D55" s="3">
        <f>'L2'!B55*'L2'!C56-'L2'!C55*'L2'!B56</f>
        <v>141</v>
      </c>
      <c r="E55" s="3">
        <f t="shared" si="0"/>
        <v>193.586926507881</v>
      </c>
      <c r="F55" s="3">
        <f t="shared" si="1"/>
        <v>23.9872758669552</v>
      </c>
      <c r="G55" s="3">
        <f t="shared" si="2"/>
        <v>-21.9372593263609</v>
      </c>
      <c r="H55" s="3">
        <f t="shared" si="3"/>
        <v>-34.5531597647824</v>
      </c>
      <c r="I55">
        <f t="shared" si="4"/>
        <v>-34.3499152540996</v>
      </c>
      <c r="J55">
        <f t="shared" si="5"/>
        <v>-32.7205886566268</v>
      </c>
    </row>
    <row r="56" spans="1:10">
      <c r="A56">
        <v>2790</v>
      </c>
      <c r="B56" s="3">
        <f>'L2'!C56*'L2'!D57-'L2'!D56*'L2'!C57</f>
        <v>67.3279933598076</v>
      </c>
      <c r="C56" s="3">
        <f>'L2'!D56*'L2'!B57-'L2'!B56*'L2'!D57</f>
        <v>-21.5592608056979</v>
      </c>
      <c r="D56" s="3">
        <f>'L2'!B56*'L2'!C57-'L2'!C56*'L2'!B57</f>
        <v>44</v>
      </c>
      <c r="E56" s="3">
        <f t="shared" si="0"/>
        <v>83.2698049496118</v>
      </c>
      <c r="F56" s="3">
        <f t="shared" si="1"/>
        <v>38.3577217086319</v>
      </c>
      <c r="G56" s="3">
        <f t="shared" si="2"/>
        <v>-12.2826195310678</v>
      </c>
      <c r="H56" s="3">
        <f t="shared" si="3"/>
        <v>-25.0674299196822</v>
      </c>
      <c r="I56">
        <f t="shared" si="4"/>
        <v>-21.0947812325636</v>
      </c>
      <c r="J56">
        <f t="shared" si="5"/>
        <v>-42.4919263478403</v>
      </c>
    </row>
    <row r="57" spans="1:10">
      <c r="A57">
        <v>2810</v>
      </c>
      <c r="B57" s="3">
        <f>'L2'!C57*'L2'!D58-'L2'!D57*'L2'!C58</f>
        <v>288.011523239822</v>
      </c>
      <c r="C57" s="3">
        <f>'L2'!D57*'L2'!B58-'L2'!B57*'L2'!D58</f>
        <v>79.0894512247216</v>
      </c>
      <c r="D57" s="3">
        <f>'L2'!B57*'L2'!C58-'L2'!C57*'L2'!B58</f>
        <v>-24.75</v>
      </c>
      <c r="E57" s="3">
        <f t="shared" si="0"/>
        <v>299.697082591657</v>
      </c>
      <c r="F57" s="3">
        <f t="shared" si="1"/>
        <v>45.5902558154483</v>
      </c>
      <c r="G57" s="3">
        <f t="shared" si="2"/>
        <v>12.5193196198475</v>
      </c>
      <c r="H57" s="3">
        <f t="shared" si="3"/>
        <v>3.91775585483356</v>
      </c>
      <c r="I57">
        <f t="shared" si="4"/>
        <v>-5.29785814579775</v>
      </c>
      <c r="J57">
        <f t="shared" si="5"/>
        <v>-47.1432529538109</v>
      </c>
    </row>
    <row r="58" spans="1:10">
      <c r="A58">
        <v>2830</v>
      </c>
      <c r="B58" s="3">
        <f>'L2'!C58*'L2'!D59-'L2'!D58*'L2'!C59</f>
        <v>26.1702707524228</v>
      </c>
      <c r="C58" s="3">
        <f>'L2'!D58*'L2'!B59-'L2'!B58*'L2'!D59</f>
        <v>-32.344012051227</v>
      </c>
      <c r="D58" s="3">
        <f>'L2'!B58*'L2'!C59-'L2'!C58*'L2'!B59</f>
        <v>35.5</v>
      </c>
      <c r="E58" s="3">
        <f t="shared" si="0"/>
        <v>54.6924874806863</v>
      </c>
      <c r="F58" s="3">
        <f t="shared" si="1"/>
        <v>22.6999666989613</v>
      </c>
      <c r="G58" s="3">
        <f t="shared" si="2"/>
        <v>-28.0550401415195</v>
      </c>
      <c r="H58" s="3">
        <f t="shared" si="3"/>
        <v>-30.7925288750985</v>
      </c>
      <c r="I58">
        <f t="shared" si="4"/>
        <v>11.1374236779314</v>
      </c>
      <c r="J58">
        <f t="shared" si="5"/>
        <v>-46.1141127402258</v>
      </c>
    </row>
    <row r="59" spans="1:10">
      <c r="A59">
        <v>2850</v>
      </c>
      <c r="B59" s="3">
        <f>'L2'!C59*'L2'!D60-'L2'!D59*'L2'!C60</f>
        <v>-87.471986653205</v>
      </c>
      <c r="C59" s="3">
        <f>'L2'!D59*'L2'!B60-'L2'!B59*'L2'!D60</f>
        <v>-548.880041770242</v>
      </c>
      <c r="D59" s="3">
        <f>'L2'!B59*'L2'!C60-'L2'!C59*'L2'!B60</f>
        <v>494</v>
      </c>
      <c r="E59" s="3">
        <f t="shared" si="0"/>
        <v>743.6105490798</v>
      </c>
      <c r="F59" s="3">
        <f t="shared" si="1"/>
        <v>-5.58043595799328</v>
      </c>
      <c r="G59" s="3">
        <f t="shared" si="2"/>
        <v>-35.0168098257922</v>
      </c>
      <c r="H59" s="3">
        <f t="shared" si="3"/>
        <v>-31.51563681957</v>
      </c>
      <c r="I59">
        <f t="shared" si="4"/>
        <v>26.2307156792818</v>
      </c>
      <c r="J59">
        <f t="shared" si="5"/>
        <v>-39.5285106594301</v>
      </c>
    </row>
    <row r="60" spans="1:10">
      <c r="A60">
        <v>2870</v>
      </c>
      <c r="B60" s="3">
        <f>'L2'!C60*'L2'!D61-'L2'!D60*'L2'!C61</f>
        <v>111.261482266282</v>
      </c>
      <c r="C60" s="3">
        <f>'L2'!D60*'L2'!B61-'L2'!B60*'L2'!D61</f>
        <v>-16.5325212823028</v>
      </c>
      <c r="D60" s="3">
        <f>'L2'!B60*'L2'!C61-'L2'!C60*'L2'!B61</f>
        <v>100</v>
      </c>
      <c r="E60" s="3">
        <f t="shared" si="0"/>
        <v>150.50728120606</v>
      </c>
      <c r="F60" s="3">
        <f t="shared" si="1"/>
        <v>35.069696804143</v>
      </c>
      <c r="G60" s="3">
        <f t="shared" si="2"/>
        <v>-5.21106223797011</v>
      </c>
      <c r="H60" s="3">
        <f t="shared" si="3"/>
        <v>-31.5200697400479</v>
      </c>
      <c r="I60">
        <f t="shared" si="4"/>
        <v>38.1633706703828</v>
      </c>
      <c r="J60">
        <f t="shared" si="5"/>
        <v>-28.1799705300585</v>
      </c>
    </row>
    <row r="61" spans="1:10">
      <c r="A61">
        <v>2890</v>
      </c>
      <c r="B61" s="3">
        <f>'L2'!C61*'L2'!D62-'L2'!D61*'L2'!C62</f>
        <v>-5.28919060670307</v>
      </c>
      <c r="C61" s="3">
        <f>'L2'!D61*'L2'!B62-'L2'!B61*'L2'!D62</f>
        <v>-63.6734268572227</v>
      </c>
      <c r="D61" s="3">
        <f>'L2'!B61*'L2'!C62-'L2'!C61*'L2'!B62</f>
        <v>53</v>
      </c>
      <c r="E61" s="3">
        <f t="shared" si="0"/>
        <v>83.0137387726642</v>
      </c>
      <c r="F61" s="3">
        <f t="shared" si="1"/>
        <v>-3.02262259346184</v>
      </c>
      <c r="G61" s="3">
        <f t="shared" si="2"/>
        <v>-36.3875596349038</v>
      </c>
      <c r="H61" s="3">
        <f t="shared" si="3"/>
        <v>-30.2879985551012</v>
      </c>
      <c r="I61">
        <f t="shared" si="4"/>
        <v>45.4975784345199</v>
      </c>
      <c r="J61">
        <f t="shared" si="5"/>
        <v>-13.4359203850986</v>
      </c>
    </row>
    <row r="62" spans="1:10">
      <c r="A62">
        <v>2910</v>
      </c>
      <c r="B62" s="3">
        <f>'L2'!C62*'L2'!D63-'L2'!D62*'L2'!C63</f>
        <v>134.577148092773</v>
      </c>
      <c r="C62" s="3">
        <f>'L2'!D62*'L2'!B63-'L2'!B62*'L2'!D63</f>
        <v>11.4923408142735</v>
      </c>
      <c r="D62" s="3">
        <f>'L2'!B62*'L2'!C63-'L2'!C62*'L2'!B63</f>
        <v>102</v>
      </c>
      <c r="E62" s="3">
        <f t="shared" si="0"/>
        <v>169.254490889239</v>
      </c>
      <c r="F62" s="3">
        <f t="shared" si="1"/>
        <v>37.7203575041272</v>
      </c>
      <c r="G62" s="3">
        <f t="shared" si="2"/>
        <v>3.22116503594527</v>
      </c>
      <c r="H62" s="3">
        <f t="shared" si="3"/>
        <v>-28.5893743473347</v>
      </c>
      <c r="I62">
        <f t="shared" si="4"/>
        <v>47.3496128551957</v>
      </c>
      <c r="J62">
        <f t="shared" si="5"/>
        <v>2.92707404468836</v>
      </c>
    </row>
    <row r="63" spans="1:10">
      <c r="A63">
        <v>2930</v>
      </c>
      <c r="B63" s="3">
        <f>'L2'!C63*'L2'!D64-'L2'!D63*'L2'!C64</f>
        <v>111.530033347163</v>
      </c>
      <c r="C63" s="3">
        <f>'L2'!D63*'L2'!B64-'L2'!B63*'L2'!D64</f>
        <v>19.4411943544616</v>
      </c>
      <c r="D63" s="3">
        <f>'L2'!B63*'L2'!C64-'L2'!C63*'L2'!B64</f>
        <v>77</v>
      </c>
      <c r="E63" s="3">
        <f t="shared" si="0"/>
        <v>136.915698063981</v>
      </c>
      <c r="F63" s="3">
        <f t="shared" si="1"/>
        <v>38.6441062405928</v>
      </c>
      <c r="G63" s="3">
        <f t="shared" si="2"/>
        <v>6.73619075984019</v>
      </c>
      <c r="H63" s="3">
        <f t="shared" si="3"/>
        <v>-26.679774866232</v>
      </c>
      <c r="I63">
        <f t="shared" si="4"/>
        <v>43.4963153802071</v>
      </c>
      <c r="J63">
        <f t="shared" si="5"/>
        <v>18.937374378344</v>
      </c>
    </row>
    <row r="64" spans="1:10">
      <c r="A64">
        <v>2950</v>
      </c>
      <c r="B64" s="3">
        <f>'L2'!C64*'L2'!D65-'L2'!D64*'L2'!C65</f>
        <v>159.464862205328</v>
      </c>
      <c r="C64" s="3">
        <f>'L2'!D64*'L2'!B65-'L2'!B64*'L2'!D65</f>
        <v>-68.625710751239</v>
      </c>
      <c r="D64" s="3">
        <f>'L2'!B64*'L2'!C65-'L2'!C64*'L2'!B65</f>
        <v>173</v>
      </c>
      <c r="E64" s="3">
        <f t="shared" si="0"/>
        <v>245.086781476025</v>
      </c>
      <c r="F64" s="3">
        <f t="shared" si="1"/>
        <v>30.866671052028</v>
      </c>
      <c r="G64" s="3">
        <f t="shared" si="2"/>
        <v>-13.2834733004858</v>
      </c>
      <c r="H64" s="3">
        <f t="shared" si="3"/>
        <v>-33.4865876918084</v>
      </c>
      <c r="I64">
        <f t="shared" si="4"/>
        <v>34.4019842300012</v>
      </c>
      <c r="J64">
        <f t="shared" si="5"/>
        <v>32.6658396652948</v>
      </c>
    </row>
    <row r="65" spans="1:10">
      <c r="A65">
        <v>2970</v>
      </c>
      <c r="B65" s="3">
        <f>'L2'!C65*'L2'!D66-'L2'!D65*'L2'!C66</f>
        <v>34.426088187315</v>
      </c>
      <c r="C65" s="3">
        <f>'L2'!D65*'L2'!B66-'L2'!B65*'L2'!D66</f>
        <v>-15.1143297573782</v>
      </c>
      <c r="D65" s="3">
        <f>'L2'!B65*'L2'!C66-'L2'!C65*'L2'!B66</f>
        <v>37.5</v>
      </c>
      <c r="E65" s="3">
        <f t="shared" si="0"/>
        <v>53.1022458272299</v>
      </c>
      <c r="F65" s="3">
        <f t="shared" si="1"/>
        <v>30.7552646439816</v>
      </c>
      <c r="G65" s="3">
        <f t="shared" si="2"/>
        <v>-13.5027020518658</v>
      </c>
      <c r="H65" s="3">
        <f t="shared" si="3"/>
        <v>-33.5014079402223</v>
      </c>
      <c r="I65">
        <f t="shared" si="4"/>
        <v>21.1624293690586</v>
      </c>
      <c r="J65">
        <f t="shared" si="5"/>
        <v>42.4582757916476</v>
      </c>
    </row>
    <row r="66" spans="1:10">
      <c r="A66">
        <v>2990</v>
      </c>
      <c r="B66" s="3">
        <f>'L2'!C66*'L2'!D67-'L2'!D66*'L2'!C67</f>
        <v>165.888132199696</v>
      </c>
      <c r="C66" s="3">
        <f>'L2'!D66*'L2'!B67-'L2'!B66*'L2'!D67</f>
        <v>-5.87389467268088</v>
      </c>
      <c r="D66" s="3">
        <f>'L2'!B66*'L2'!C67-'L2'!C66*'L2'!B67</f>
        <v>148.75</v>
      </c>
      <c r="E66" s="3">
        <f t="shared" ref="E66:E112" si="6">SQRT(B66*B66+C66*C66+D66*D66)</f>
        <v>222.889967345615</v>
      </c>
      <c r="F66" s="3">
        <f t="shared" ref="F66:F112" si="7">B66/E66*47.44</f>
        <v>35.3077039997528</v>
      </c>
      <c r="G66" s="3">
        <f t="shared" ref="G66:G112" si="8">C66/E66*47.44</f>
        <v>-1.25020236034174</v>
      </c>
      <c r="H66" s="3">
        <f t="shared" ref="H66:H112" si="9">-D66/E66*47.44</f>
        <v>-31.6600163032812</v>
      </c>
      <c r="I66">
        <f t="shared" ref="I66:I113" si="10">COS(3.14/9*((A66-25)/20))*47.44</f>
        <v>5.37293426597971</v>
      </c>
      <c r="J66">
        <f t="shared" ref="J66:J113" si="11">SIN(3.14/9*((A66-25)/20))*47.44</f>
        <v>47.1347555140945</v>
      </c>
    </row>
    <row r="67" spans="1:10">
      <c r="A67">
        <v>3010</v>
      </c>
      <c r="B67" s="3">
        <f>'L2'!C67*'L2'!D68-'L2'!D67*'L2'!C68</f>
        <v>126.845710959847</v>
      </c>
      <c r="C67" s="3">
        <f>'L2'!D67*'L2'!B68-'L2'!B67*'L2'!D68</f>
        <v>-0.771571754202569</v>
      </c>
      <c r="D67" s="3">
        <f>'L2'!B67*'L2'!C68-'L2'!C67*'L2'!B68</f>
        <v>112.5</v>
      </c>
      <c r="E67" s="3">
        <f t="shared" si="6"/>
        <v>169.548458299923</v>
      </c>
      <c r="F67" s="3">
        <f t="shared" si="7"/>
        <v>35.4916853168334</v>
      </c>
      <c r="G67" s="3">
        <f t="shared" si="8"/>
        <v>-0.215887330303058</v>
      </c>
      <c r="H67" s="3">
        <f t="shared" si="9"/>
        <v>-31.4777265067141</v>
      </c>
      <c r="I67">
        <f t="shared" si="10"/>
        <v>-11.0639657764967</v>
      </c>
      <c r="J67">
        <f t="shared" si="11"/>
        <v>46.1317923052694</v>
      </c>
    </row>
    <row r="68" spans="1:10">
      <c r="A68">
        <v>3030</v>
      </c>
      <c r="B68" s="3">
        <f>'L2'!C68*'L2'!D69-'L2'!D68*'L2'!C69</f>
        <v>86.4444263325121</v>
      </c>
      <c r="C68" s="3">
        <f>'L2'!D68*'L2'!B69-'L2'!B68*'L2'!D69</f>
        <v>133.676682889276</v>
      </c>
      <c r="D68" s="3">
        <f>'L2'!B68*'L2'!C69-'L2'!C68*'L2'!B69</f>
        <v>46</v>
      </c>
      <c r="E68" s="3">
        <f t="shared" si="6"/>
        <v>165.704841185275</v>
      </c>
      <c r="F68" s="3">
        <f t="shared" si="7"/>
        <v>24.7483631490834</v>
      </c>
      <c r="G68" s="3">
        <f t="shared" si="8"/>
        <v>38.2705887824766</v>
      </c>
      <c r="H68" s="3">
        <f t="shared" si="9"/>
        <v>-13.1694402190702</v>
      </c>
      <c r="I68">
        <f t="shared" si="10"/>
        <v>-26.1677272138013</v>
      </c>
      <c r="J68">
        <f t="shared" si="11"/>
        <v>39.5702369523368</v>
      </c>
    </row>
    <row r="69" spans="1:10">
      <c r="A69">
        <v>3050</v>
      </c>
      <c r="B69" s="3">
        <f>'L2'!C69*'L2'!D70-'L2'!D69*'L2'!C70</f>
        <v>42.4993610354649</v>
      </c>
      <c r="C69" s="3">
        <f>'L2'!D69*'L2'!B70-'L2'!B69*'L2'!D70</f>
        <v>63.3445561458141</v>
      </c>
      <c r="D69" s="3">
        <f>'L2'!B69*'L2'!C70-'L2'!C69*'L2'!B70</f>
        <v>23</v>
      </c>
      <c r="E69" s="3">
        <f t="shared" si="6"/>
        <v>79.6726332044635</v>
      </c>
      <c r="F69" s="3">
        <f t="shared" si="7"/>
        <v>25.3056740618622</v>
      </c>
      <c r="G69" s="3">
        <f t="shared" si="8"/>
        <v>37.7176656863535</v>
      </c>
      <c r="H69" s="3">
        <f t="shared" si="9"/>
        <v>-13.6950412722003</v>
      </c>
      <c r="I69">
        <f t="shared" si="10"/>
        <v>-38.1184413565796</v>
      </c>
      <c r="J69">
        <f t="shared" si="11"/>
        <v>28.240715793779</v>
      </c>
    </row>
    <row r="70" spans="1:10">
      <c r="A70">
        <v>3070</v>
      </c>
      <c r="B70" s="3">
        <f>'L2'!C70*'L2'!D71-'L2'!D70*'L2'!C71</f>
        <v>208.592284331019</v>
      </c>
      <c r="C70" s="3">
        <f>'L2'!D70*'L2'!B71-'L2'!B70*'L2'!D71</f>
        <v>-20.2752501228847</v>
      </c>
      <c r="D70" s="3">
        <f>'L2'!B70*'L2'!C71-'L2'!C70*'L2'!B71</f>
        <v>156.5</v>
      </c>
      <c r="E70" s="3">
        <f t="shared" si="6"/>
        <v>261.560847318512</v>
      </c>
      <c r="F70" s="3">
        <f t="shared" si="7"/>
        <v>37.8329481270309</v>
      </c>
      <c r="G70" s="3">
        <f t="shared" si="8"/>
        <v>-3.67737708334597</v>
      </c>
      <c r="H70" s="3">
        <f t="shared" si="9"/>
        <v>-28.3848292896799</v>
      </c>
      <c r="I70">
        <f t="shared" si="10"/>
        <v>-45.4761219734072</v>
      </c>
      <c r="J70">
        <f t="shared" si="11"/>
        <v>13.5083651956776</v>
      </c>
    </row>
    <row r="71" spans="1:10">
      <c r="A71">
        <v>3090</v>
      </c>
      <c r="B71" s="3">
        <f>'L2'!C71*'L2'!D72-'L2'!D71*'L2'!C72</f>
        <v>151.450844459554</v>
      </c>
      <c r="C71" s="3">
        <f>'L2'!D71*'L2'!B72-'L2'!B71*'L2'!D72</f>
        <v>51.3659395902471</v>
      </c>
      <c r="D71" s="3">
        <f>'L2'!B71*'L2'!C72-'L2'!C71*'L2'!B72</f>
        <v>114.5</v>
      </c>
      <c r="E71" s="3">
        <f t="shared" si="6"/>
        <v>196.687742468871</v>
      </c>
      <c r="F71" s="3">
        <f t="shared" si="7"/>
        <v>36.5291093942895</v>
      </c>
      <c r="G71" s="3">
        <f t="shared" si="8"/>
        <v>12.3891816722996</v>
      </c>
      <c r="H71" s="3">
        <f t="shared" si="9"/>
        <v>-27.6167692598317</v>
      </c>
      <c r="I71">
        <f t="shared" si="10"/>
        <v>-47.3542146159997</v>
      </c>
      <c r="J71">
        <f t="shared" si="11"/>
        <v>-2.85165883335263</v>
      </c>
    </row>
    <row r="72" spans="1:10">
      <c r="A72">
        <v>3110</v>
      </c>
      <c r="B72" s="3">
        <f>'L2'!C72*'L2'!D73-'L2'!D72*'L2'!C73</f>
        <v>196.119189494065</v>
      </c>
      <c r="C72" s="3">
        <f>'L2'!D72*'L2'!B73-'L2'!B72*'L2'!D73</f>
        <v>-25.37431768129</v>
      </c>
      <c r="D72" s="3">
        <f>'L2'!B72*'L2'!C73-'L2'!C72*'L2'!B73</f>
        <v>137.5</v>
      </c>
      <c r="E72" s="3">
        <f t="shared" si="6"/>
        <v>240.858552859557</v>
      </c>
      <c r="F72" s="3">
        <f t="shared" si="7"/>
        <v>38.6280422228705</v>
      </c>
      <c r="G72" s="3">
        <f t="shared" si="8"/>
        <v>-4.99777822505767</v>
      </c>
      <c r="H72" s="3">
        <f t="shared" si="9"/>
        <v>-27.0822851111437</v>
      </c>
      <c r="I72">
        <f t="shared" si="10"/>
        <v>-43.5264208795624</v>
      </c>
      <c r="J72">
        <f t="shared" si="11"/>
        <v>-18.8680758270469</v>
      </c>
    </row>
    <row r="73" spans="1:10">
      <c r="A73">
        <v>3130</v>
      </c>
      <c r="B73" s="3">
        <f>'L2'!C73*'L2'!D74-'L2'!D73*'L2'!C74</f>
        <v>328.289848931843</v>
      </c>
      <c r="C73" s="3">
        <f>'L2'!D73*'L2'!B74-'L2'!B73*'L2'!D74</f>
        <v>-82.5701196465703</v>
      </c>
      <c r="D73" s="3">
        <f>'L2'!B73*'L2'!C74-'L2'!C73*'L2'!B74</f>
        <v>220</v>
      </c>
      <c r="E73" s="3">
        <f t="shared" si="6"/>
        <v>403.722738485388</v>
      </c>
      <c r="F73" s="3">
        <f t="shared" si="7"/>
        <v>38.5761537528318</v>
      </c>
      <c r="G73" s="3">
        <f t="shared" si="8"/>
        <v>-9.70251636241457</v>
      </c>
      <c r="H73" s="3">
        <f t="shared" si="9"/>
        <v>-25.8514049497307</v>
      </c>
      <c r="I73">
        <f t="shared" si="10"/>
        <v>-34.4539659437244</v>
      </c>
      <c r="J73">
        <f t="shared" si="11"/>
        <v>-32.6110078155932</v>
      </c>
    </row>
    <row r="74" spans="1:10">
      <c r="A74">
        <v>3150</v>
      </c>
      <c r="B74" s="3">
        <f>'L2'!C74*'L2'!D75-'L2'!D74*'L2'!C75</f>
        <v>-47.7501006195648</v>
      </c>
      <c r="C74" s="3">
        <f>'L2'!D74*'L2'!B75-'L2'!B74*'L2'!D75</f>
        <v>116.890058694635</v>
      </c>
      <c r="D74" s="3">
        <f>'L2'!B74*'L2'!C75-'L2'!C74*'L2'!B75</f>
        <v>21.25</v>
      </c>
      <c r="E74" s="3">
        <f t="shared" si="6"/>
        <v>128.042650827034</v>
      </c>
      <c r="F74" s="3">
        <f t="shared" si="7"/>
        <v>-17.6914860693737</v>
      </c>
      <c r="G74" s="3">
        <f t="shared" si="8"/>
        <v>43.3079473804731</v>
      </c>
      <c r="H74" s="3">
        <f t="shared" si="9"/>
        <v>-7.87315783833458</v>
      </c>
      <c r="I74">
        <f t="shared" si="10"/>
        <v>-21.2300238261007</v>
      </c>
      <c r="J74">
        <f t="shared" si="11"/>
        <v>-42.4245175381311</v>
      </c>
    </row>
    <row r="75" spans="1:10">
      <c r="A75">
        <v>3170</v>
      </c>
      <c r="B75" s="3">
        <f>'L2'!C75*'L2'!D76-'L2'!D75*'L2'!C76</f>
        <v>336.315172893151</v>
      </c>
      <c r="C75" s="3">
        <f>'L2'!D75*'L2'!B76-'L2'!B75*'L2'!D76</f>
        <v>-60.8766632399074</v>
      </c>
      <c r="D75" s="3">
        <f>'L2'!B75*'L2'!C76-'L2'!C75*'L2'!B76</f>
        <v>208.25</v>
      </c>
      <c r="E75" s="3">
        <f t="shared" si="6"/>
        <v>400.227343075626</v>
      </c>
      <c r="F75" s="3">
        <f t="shared" si="7"/>
        <v>39.8643223110228</v>
      </c>
      <c r="G75" s="3">
        <f t="shared" si="8"/>
        <v>-7.21587106445023</v>
      </c>
      <c r="H75" s="3">
        <f t="shared" si="9"/>
        <v>-24.6844204198542</v>
      </c>
      <c r="I75">
        <f t="shared" si="10"/>
        <v>-5.44799675747254</v>
      </c>
      <c r="J75">
        <f t="shared" si="11"/>
        <v>-47.1261385149533</v>
      </c>
    </row>
    <row r="76" spans="1:10">
      <c r="A76">
        <v>3190</v>
      </c>
      <c r="B76" s="3">
        <f>'L2'!C76*'L2'!D77-'L2'!D76*'L2'!C77</f>
        <v>85.750893214847</v>
      </c>
      <c r="C76" s="3">
        <f>'L2'!D76*'L2'!B77-'L2'!B76*'L2'!D77</f>
        <v>76.2717595223552</v>
      </c>
      <c r="D76" s="3">
        <f>'L2'!B76*'L2'!C77-'L2'!C76*'L2'!B77</f>
        <v>122.5</v>
      </c>
      <c r="E76" s="3">
        <f t="shared" si="6"/>
        <v>167.859604991136</v>
      </c>
      <c r="F76" s="3">
        <f t="shared" si="7"/>
        <v>24.2346714346621</v>
      </c>
      <c r="G76" s="3">
        <f t="shared" si="8"/>
        <v>21.5557058646219</v>
      </c>
      <c r="H76" s="3">
        <f t="shared" si="9"/>
        <v>-34.6205985669208</v>
      </c>
      <c r="I76">
        <f t="shared" si="10"/>
        <v>10.9904798108159</v>
      </c>
      <c r="J76">
        <f t="shared" si="11"/>
        <v>-46.1493548549495</v>
      </c>
    </row>
    <row r="77" spans="1:10">
      <c r="A77">
        <v>3210</v>
      </c>
      <c r="B77" s="3">
        <f>'L2'!C77*'L2'!D78-'L2'!D77*'L2'!C78</f>
        <v>-42.4468708332669</v>
      </c>
      <c r="C77" s="3">
        <f>'L2'!D77*'L2'!B78-'L2'!B77*'L2'!D78</f>
        <v>115.114036296053</v>
      </c>
      <c r="D77" s="3">
        <f>'L2'!B77*'L2'!C78-'L2'!C77*'L2'!B78</f>
        <v>67.5</v>
      </c>
      <c r="E77" s="3">
        <f t="shared" si="6"/>
        <v>140.032953964076</v>
      </c>
      <c r="F77" s="3">
        <f t="shared" si="7"/>
        <v>-14.3800405213674</v>
      </c>
      <c r="G77" s="3">
        <f t="shared" si="8"/>
        <v>38.9980338719821</v>
      </c>
      <c r="H77" s="3">
        <f t="shared" si="9"/>
        <v>-22.8674744719125</v>
      </c>
      <c r="I77">
        <f t="shared" si="10"/>
        <v>26.1046723727054</v>
      </c>
      <c r="J77">
        <f t="shared" si="11"/>
        <v>-39.6118628735599</v>
      </c>
    </row>
    <row r="78" spans="1:10">
      <c r="A78">
        <v>3230</v>
      </c>
      <c r="B78" s="3">
        <f>'L2'!C78*'L2'!D79-'L2'!D78*'L2'!C79</f>
        <v>126.882153113833</v>
      </c>
      <c r="C78" s="3">
        <f>'L2'!D78*'L2'!B79-'L2'!B78*'L2'!D79</f>
        <v>82.9093461118276</v>
      </c>
      <c r="D78" s="3">
        <f>'L2'!B78*'L2'!C79-'L2'!C78*'L2'!B79</f>
        <v>139.5</v>
      </c>
      <c r="E78" s="3">
        <f t="shared" si="6"/>
        <v>205.993423320971</v>
      </c>
      <c r="F78" s="3">
        <f t="shared" si="7"/>
        <v>29.220784074942</v>
      </c>
      <c r="G78" s="3">
        <f t="shared" si="8"/>
        <v>19.0939075439147</v>
      </c>
      <c r="H78" s="3">
        <f t="shared" si="9"/>
        <v>-32.1266567315999</v>
      </c>
      <c r="I78">
        <f t="shared" si="10"/>
        <v>38.0734153536376</v>
      </c>
      <c r="J78">
        <f t="shared" si="11"/>
        <v>-28.3013894236554</v>
      </c>
    </row>
    <row r="79" spans="1:10">
      <c r="A79">
        <v>3250</v>
      </c>
      <c r="B79" s="3">
        <f>'L2'!C79*'L2'!D80-'L2'!D79*'L2'!C80</f>
        <v>-27.9254477355514</v>
      </c>
      <c r="C79" s="3">
        <f>'L2'!D79*'L2'!B80-'L2'!B79*'L2'!D80</f>
        <v>81.0340630607621</v>
      </c>
      <c r="D79" s="3">
        <f>'L2'!B79*'L2'!C80-'L2'!C79*'L2'!B80</f>
        <v>60</v>
      </c>
      <c r="E79" s="3">
        <f t="shared" si="6"/>
        <v>104.624805889266</v>
      </c>
      <c r="F79" s="3">
        <f t="shared" si="7"/>
        <v>-12.6622288979604</v>
      </c>
      <c r="G79" s="3">
        <f t="shared" si="8"/>
        <v>36.7432552818428</v>
      </c>
      <c r="H79" s="3">
        <f t="shared" si="9"/>
        <v>-27.2057852419111</v>
      </c>
      <c r="I79">
        <f t="shared" si="10"/>
        <v>45.4545501600682</v>
      </c>
      <c r="J79">
        <f t="shared" si="11"/>
        <v>-13.5807757416815</v>
      </c>
    </row>
    <row r="80" spans="1:10">
      <c r="A80">
        <v>3270</v>
      </c>
      <c r="B80" s="3">
        <f>'L2'!C80*'L2'!D81-'L2'!D80*'L2'!C81</f>
        <v>-34.0747316795423</v>
      </c>
      <c r="C80" s="3">
        <f>'L2'!D80*'L2'!B81-'L2'!B80*'L2'!D81</f>
        <v>117.774598627981</v>
      </c>
      <c r="D80" s="3">
        <f>'L2'!B80*'L2'!C81-'L2'!C80*'L2'!B81</f>
        <v>90</v>
      </c>
      <c r="E80" s="3">
        <f t="shared" si="6"/>
        <v>152.091891371679</v>
      </c>
      <c r="F80" s="3">
        <f t="shared" si="7"/>
        <v>-10.6284776676694</v>
      </c>
      <c r="G80" s="3">
        <f t="shared" si="8"/>
        <v>36.7358634870115</v>
      </c>
      <c r="H80" s="3">
        <f t="shared" si="9"/>
        <v>-28.0725024949951</v>
      </c>
      <c r="I80">
        <f t="shared" si="10"/>
        <v>47.3586962607112</v>
      </c>
      <c r="J80">
        <f t="shared" si="11"/>
        <v>2.77623638865618</v>
      </c>
    </row>
    <row r="81" spans="1:10">
      <c r="A81">
        <v>3290</v>
      </c>
      <c r="B81" s="3">
        <f>'L2'!C81*'L2'!D82-'L2'!D81*'L2'!C82</f>
        <v>-21.7976885592348</v>
      </c>
      <c r="C81" s="3">
        <f>'L2'!D81*'L2'!B82-'L2'!B81*'L2'!D82</f>
        <v>95.6162957400589</v>
      </c>
      <c r="D81" s="3">
        <f>'L2'!B81*'L2'!C82-'L2'!C81*'L2'!B82</f>
        <v>75</v>
      </c>
      <c r="E81" s="3">
        <f t="shared" si="6"/>
        <v>123.460986702585</v>
      </c>
      <c r="F81" s="3">
        <f t="shared" si="7"/>
        <v>-8.37578228449755</v>
      </c>
      <c r="G81" s="3">
        <f t="shared" si="8"/>
        <v>36.7406513673475</v>
      </c>
      <c r="H81" s="3">
        <f t="shared" si="9"/>
        <v>-28.8188203822731</v>
      </c>
      <c r="I81">
        <f t="shared" si="10"/>
        <v>43.5564159721959</v>
      </c>
      <c r="J81">
        <f t="shared" si="11"/>
        <v>18.7987294160279</v>
      </c>
    </row>
    <row r="82" spans="1:10">
      <c r="A82">
        <v>3310</v>
      </c>
      <c r="B82" s="3">
        <f>'L2'!C82*'L2'!D83-'L2'!D82*'L2'!C83</f>
        <v>-134.536131444134</v>
      </c>
      <c r="C82" s="3">
        <f>'L2'!D82*'L2'!B83-'L2'!B82*'L2'!D83</f>
        <v>108.059351204179</v>
      </c>
      <c r="D82" s="3">
        <f>'L2'!B82*'L2'!C83-'L2'!C82*'L2'!B83</f>
        <v>57</v>
      </c>
      <c r="E82" s="3">
        <f t="shared" si="6"/>
        <v>181.730003154739</v>
      </c>
      <c r="F82" s="3">
        <f t="shared" si="7"/>
        <v>-35.120200104081</v>
      </c>
      <c r="G82" s="3">
        <f t="shared" si="8"/>
        <v>28.2085265621292</v>
      </c>
      <c r="H82" s="3">
        <f t="shared" si="9"/>
        <v>-14.8796563751641</v>
      </c>
      <c r="I82">
        <f t="shared" si="10"/>
        <v>34.5058602634153</v>
      </c>
      <c r="J82">
        <f t="shared" si="11"/>
        <v>32.5560932466053</v>
      </c>
    </row>
    <row r="83" spans="1:10">
      <c r="A83">
        <v>3330</v>
      </c>
      <c r="B83" s="3">
        <f>'L2'!C83*'L2'!D84-'L2'!D83*'L2'!C84</f>
        <v>76.4571706016422</v>
      </c>
      <c r="C83" s="3">
        <f>'L2'!D83*'L2'!B84-'L2'!B83*'L2'!D84</f>
        <v>127.482417177265</v>
      </c>
      <c r="D83" s="3">
        <f>'L2'!B83*'L2'!C84-'L2'!C83*'L2'!B84</f>
        <v>107.75</v>
      </c>
      <c r="E83" s="3">
        <f t="shared" si="6"/>
        <v>183.596100518957</v>
      </c>
      <c r="F83" s="3">
        <f t="shared" si="7"/>
        <v>19.7560196708393</v>
      </c>
      <c r="G83" s="3">
        <f t="shared" si="8"/>
        <v>32.9406008831054</v>
      </c>
      <c r="H83" s="3">
        <f t="shared" si="9"/>
        <v>-27.8418767367676</v>
      </c>
      <c r="I83">
        <f t="shared" si="10"/>
        <v>21.2975644322338</v>
      </c>
      <c r="J83">
        <f t="shared" si="11"/>
        <v>42.3906516729202</v>
      </c>
    </row>
    <row r="84" spans="1:10">
      <c r="A84">
        <v>3350</v>
      </c>
      <c r="B84" s="3">
        <f>'L2'!C84*'L2'!D85-'L2'!D84*'L2'!C85</f>
        <v>151.946504443098</v>
      </c>
      <c r="C84" s="3">
        <f>'L2'!D84*'L2'!B85-'L2'!B84*'L2'!D85</f>
        <v>123.571412038676</v>
      </c>
      <c r="D84" s="3">
        <f>'L2'!B84*'L2'!C85-'L2'!C84*'L2'!B85</f>
        <v>110.75</v>
      </c>
      <c r="E84" s="3">
        <f t="shared" si="6"/>
        <v>224.995992376995</v>
      </c>
      <c r="F84" s="3">
        <f t="shared" si="7"/>
        <v>32.0376469581847</v>
      </c>
      <c r="G84" s="3">
        <f t="shared" si="8"/>
        <v>26.0548097998664</v>
      </c>
      <c r="H84" s="3">
        <f t="shared" si="9"/>
        <v>-23.3514381500477</v>
      </c>
      <c r="I84">
        <f t="shared" si="10"/>
        <v>5.52304542987687</v>
      </c>
      <c r="J84">
        <f t="shared" si="11"/>
        <v>47.1174019782449</v>
      </c>
    </row>
    <row r="85" spans="1:10">
      <c r="A85">
        <v>3370</v>
      </c>
      <c r="B85" s="3">
        <f>'L2'!C85*'L2'!D86-'L2'!D85*'L2'!C86</f>
        <v>-22.865083074382</v>
      </c>
      <c r="C85" s="3">
        <f>'L2'!D85*'L2'!B86-'L2'!B85*'L2'!D86</f>
        <v>139.990787650697</v>
      </c>
      <c r="D85" s="3">
        <f>'L2'!B85*'L2'!C86-'L2'!C85*'L2'!B86</f>
        <v>128.25</v>
      </c>
      <c r="E85" s="3">
        <f t="shared" si="6"/>
        <v>191.228384794363</v>
      </c>
      <c r="F85" s="3">
        <f t="shared" si="7"/>
        <v>-5.67237725829842</v>
      </c>
      <c r="G85" s="3">
        <f t="shared" si="8"/>
        <v>34.7289602079243</v>
      </c>
      <c r="H85" s="3">
        <f t="shared" si="9"/>
        <v>-31.8163017825132</v>
      </c>
      <c r="I85">
        <f t="shared" si="10"/>
        <v>-10.9169659672893</v>
      </c>
      <c r="J85">
        <f t="shared" si="11"/>
        <v>46.1668003447179</v>
      </c>
    </row>
    <row r="86" spans="1:10">
      <c r="A86">
        <v>3390</v>
      </c>
      <c r="B86" s="3">
        <f>'L2'!C86*'L2'!D87-'L2'!D86*'L2'!C87</f>
        <v>-46.7636729876504</v>
      </c>
      <c r="C86" s="3">
        <f>'L2'!D86*'L2'!B87-'L2'!B86*'L2'!D87</f>
        <v>103.904002234064</v>
      </c>
      <c r="D86" s="3">
        <f>'L2'!B86*'L2'!C87-'L2'!C86*'L2'!B87</f>
        <v>99</v>
      </c>
      <c r="E86" s="3">
        <f t="shared" si="6"/>
        <v>150.943309860199</v>
      </c>
      <c r="F86" s="3">
        <f t="shared" si="7"/>
        <v>-14.6973631927697</v>
      </c>
      <c r="G86" s="3">
        <f t="shared" si="8"/>
        <v>32.6560075471334</v>
      </c>
      <c r="H86" s="3">
        <f t="shared" si="9"/>
        <v>-31.114727803106</v>
      </c>
      <c r="I86">
        <f t="shared" si="10"/>
        <v>-26.0415513159353</v>
      </c>
      <c r="J86">
        <f t="shared" si="11"/>
        <v>39.6533883175134</v>
      </c>
    </row>
    <row r="87" spans="1:10">
      <c r="A87">
        <v>3410</v>
      </c>
      <c r="B87" s="3">
        <f>'L2'!C87*'L2'!D88-'L2'!D87*'L2'!C88</f>
        <v>228.453640167221</v>
      </c>
      <c r="C87" s="3">
        <f>'L2'!D87*'L2'!B88-'L2'!B87*'L2'!D88</f>
        <v>172.163235492969</v>
      </c>
      <c r="D87" s="3">
        <f>'L2'!B87*'L2'!C88-'L2'!C87*'L2'!B88</f>
        <v>99.5</v>
      </c>
      <c r="E87" s="3">
        <f t="shared" si="6"/>
        <v>302.872077552656</v>
      </c>
      <c r="F87" s="3">
        <f t="shared" si="7"/>
        <v>35.7835584485294</v>
      </c>
      <c r="G87" s="3">
        <f t="shared" si="8"/>
        <v>26.966579282524</v>
      </c>
      <c r="H87" s="3">
        <f t="shared" si="9"/>
        <v>-15.5850616476171</v>
      </c>
      <c r="I87">
        <f t="shared" si="10"/>
        <v>-38.0282927757672</v>
      </c>
      <c r="J87">
        <f t="shared" si="11"/>
        <v>28.3619912657862</v>
      </c>
    </row>
    <row r="88" spans="1:10">
      <c r="A88">
        <v>3430</v>
      </c>
      <c r="B88" s="3">
        <f>'L2'!C88*'L2'!D89-'L2'!D88*'L2'!C89</f>
        <v>-191.477706606649</v>
      </c>
      <c r="C88" s="3">
        <f>'L2'!D88*'L2'!B89-'L2'!B88*'L2'!D89</f>
        <v>51.0891243005111</v>
      </c>
      <c r="D88" s="3">
        <f>'L2'!B88*'L2'!C89-'L2'!C88*'L2'!B89</f>
        <v>124</v>
      </c>
      <c r="E88" s="3">
        <f t="shared" si="6"/>
        <v>233.772989776695</v>
      </c>
      <c r="F88" s="3">
        <f t="shared" si="7"/>
        <v>-38.8569372796076</v>
      </c>
      <c r="G88" s="3">
        <f t="shared" si="8"/>
        <v>10.3676137227461</v>
      </c>
      <c r="H88" s="3">
        <f t="shared" si="9"/>
        <v>-25.1635571997396</v>
      </c>
      <c r="I88">
        <f t="shared" si="10"/>
        <v>-45.4328630492209</v>
      </c>
      <c r="J88">
        <f t="shared" si="11"/>
        <v>13.6531518394376</v>
      </c>
    </row>
    <row r="89" spans="1:10">
      <c r="A89">
        <v>3450</v>
      </c>
      <c r="B89" s="3">
        <f>'L2'!C89*'L2'!D90-'L2'!D89*'L2'!C90</f>
        <v>-18.8571707771491</v>
      </c>
      <c r="C89" s="3">
        <f>'L2'!D89*'L2'!B90-'L2'!B89*'L2'!D90</f>
        <v>108.992892518211</v>
      </c>
      <c r="D89" s="3">
        <f>'L2'!B89*'L2'!C90-'L2'!C89*'L2'!B90</f>
        <v>104</v>
      </c>
      <c r="E89" s="3">
        <f t="shared" si="6"/>
        <v>151.82570108254</v>
      </c>
      <c r="F89" s="3">
        <f t="shared" si="7"/>
        <v>-5.89217882933808</v>
      </c>
      <c r="G89" s="3">
        <f t="shared" si="8"/>
        <v>34.0563078859284</v>
      </c>
      <c r="H89" s="3">
        <f t="shared" si="9"/>
        <v>-32.49621088407</v>
      </c>
      <c r="I89">
        <f t="shared" si="10"/>
        <v>-47.3630577779622</v>
      </c>
      <c r="J89">
        <f t="shared" si="11"/>
        <v>-2.70080690191141</v>
      </c>
    </row>
    <row r="90" spans="1:10">
      <c r="A90">
        <v>3470</v>
      </c>
      <c r="B90" s="3">
        <f>'L2'!C90*'L2'!D91-'L2'!D90*'L2'!C91</f>
        <v>88.9455751431464</v>
      </c>
      <c r="C90" s="3">
        <f>'L2'!D90*'L2'!B91-'L2'!B90*'L2'!D91</f>
        <v>159.490316635733</v>
      </c>
      <c r="D90" s="3">
        <f>'L2'!B90*'L2'!C91-'L2'!C90*'L2'!B91</f>
        <v>93</v>
      </c>
      <c r="E90" s="3">
        <f t="shared" si="6"/>
        <v>204.932858366128</v>
      </c>
      <c r="F90" s="3">
        <f t="shared" si="7"/>
        <v>20.5900513877198</v>
      </c>
      <c r="G90" s="3">
        <f t="shared" si="8"/>
        <v>36.9204854776463</v>
      </c>
      <c r="H90" s="3">
        <f t="shared" si="9"/>
        <v>-21.5286120301791</v>
      </c>
      <c r="I90">
        <f t="shared" si="10"/>
        <v>-43.5863005820238</v>
      </c>
      <c r="J90">
        <f t="shared" si="11"/>
        <v>-18.7293353211873</v>
      </c>
    </row>
    <row r="91" spans="1:10">
      <c r="A91">
        <v>3490</v>
      </c>
      <c r="B91" s="3">
        <f>'L2'!C91*'L2'!D92-'L2'!D91*'L2'!C92</f>
        <v>-92.8043944876558</v>
      </c>
      <c r="C91" s="3">
        <f>'L2'!D91*'L2'!B92-'L2'!B91*'L2'!D92</f>
        <v>66.800046728353</v>
      </c>
      <c r="D91" s="3">
        <f>'L2'!B91*'L2'!C92-'L2'!C91*'L2'!B92</f>
        <v>125</v>
      </c>
      <c r="E91" s="3">
        <f t="shared" si="6"/>
        <v>169.410453866137</v>
      </c>
      <c r="F91" s="3">
        <f t="shared" si="7"/>
        <v>-25.9880094411011</v>
      </c>
      <c r="G91" s="3">
        <f t="shared" si="8"/>
        <v>18.7060133803614</v>
      </c>
      <c r="H91" s="3">
        <f t="shared" si="9"/>
        <v>-35.0037430670347</v>
      </c>
      <c r="I91">
        <f t="shared" si="10"/>
        <v>-34.5576670574416</v>
      </c>
      <c r="J91">
        <f t="shared" si="11"/>
        <v>-32.5010960976244</v>
      </c>
    </row>
    <row r="92" spans="1:10">
      <c r="A92">
        <v>3510</v>
      </c>
      <c r="B92" s="3">
        <f>'L2'!C92*'L2'!D93-'L2'!D92*'L2'!C93</f>
        <v>-28.8464904378936</v>
      </c>
      <c r="C92" s="3">
        <f>'L2'!D92*'L2'!B93-'L2'!B92*'L2'!D93</f>
        <v>94.4452675996978</v>
      </c>
      <c r="D92" s="3">
        <f>'L2'!B92*'L2'!C93-'L2'!C92*'L2'!B93</f>
        <v>102</v>
      </c>
      <c r="E92" s="3">
        <f t="shared" si="6"/>
        <v>141.97192885413</v>
      </c>
      <c r="F92" s="3">
        <f t="shared" si="7"/>
        <v>-9.63907102917317</v>
      </c>
      <c r="G92" s="3">
        <f t="shared" si="8"/>
        <v>31.5589393698608</v>
      </c>
      <c r="H92" s="3">
        <f t="shared" si="9"/>
        <v>-34.0833574570347</v>
      </c>
      <c r="I92">
        <f t="shared" si="10"/>
        <v>-21.365051016138</v>
      </c>
      <c r="J92">
        <f t="shared" si="11"/>
        <v>-42.356678281917</v>
      </c>
    </row>
    <row r="93" spans="1:10">
      <c r="A93">
        <v>3530</v>
      </c>
      <c r="B93" s="3">
        <f>'L2'!C93*'L2'!D94-'L2'!D93*'L2'!C94</f>
        <v>-34.7105598269362</v>
      </c>
      <c r="C93" s="3">
        <f>'L2'!D93*'L2'!B94-'L2'!B93*'L2'!D94</f>
        <v>119.404137720053</v>
      </c>
      <c r="D93" s="3">
        <f>'L2'!B93*'L2'!C94-'L2'!C93*'L2'!B94</f>
        <v>127.5</v>
      </c>
      <c r="E93" s="3">
        <f t="shared" si="6"/>
        <v>178.096662147747</v>
      </c>
      <c r="F93" s="3">
        <f t="shared" si="7"/>
        <v>-9.24592824105708</v>
      </c>
      <c r="G93" s="3">
        <f t="shared" si="8"/>
        <v>31.8059430487253</v>
      </c>
      <c r="H93" s="3">
        <f t="shared" si="9"/>
        <v>-33.9624557083622</v>
      </c>
      <c r="I93">
        <f t="shared" si="10"/>
        <v>-5.59808009282837</v>
      </c>
      <c r="J93">
        <f t="shared" si="11"/>
        <v>-47.1085459261298</v>
      </c>
    </row>
    <row r="94" spans="1:10">
      <c r="A94">
        <v>3550</v>
      </c>
      <c r="B94" s="3">
        <f>'L2'!C94*'L2'!D95-'L2'!D94*'L2'!C95</f>
        <v>24.3293836197582</v>
      </c>
      <c r="C94" s="3">
        <f>'L2'!D94*'L2'!B95-'L2'!B94*'L2'!D95</f>
        <v>283.472393866275</v>
      </c>
      <c r="D94" s="3">
        <f>'L2'!B94*'L2'!C95-'L2'!C94*'L2'!B95</f>
        <v>200.5</v>
      </c>
      <c r="E94" s="3">
        <f t="shared" si="6"/>
        <v>348.064314447192</v>
      </c>
      <c r="F94" s="3">
        <f t="shared" si="7"/>
        <v>3.3160134808834</v>
      </c>
      <c r="G94" s="3">
        <f t="shared" si="8"/>
        <v>38.6363376158643</v>
      </c>
      <c r="H94" s="3">
        <f t="shared" si="9"/>
        <v>-27.3274782998275</v>
      </c>
      <c r="I94">
        <f t="shared" si="10"/>
        <v>10.8434244323882</v>
      </c>
      <c r="J94">
        <f t="shared" si="11"/>
        <v>-46.1841287303234</v>
      </c>
    </row>
    <row r="95" spans="1:10">
      <c r="A95">
        <v>3570</v>
      </c>
      <c r="B95" s="3">
        <f>'L2'!C95*'L2'!D96-'L2'!D95*'L2'!C96</f>
        <v>-61.6479885069966</v>
      </c>
      <c r="C95" s="3">
        <f>'L2'!D95*'L2'!B96-'L2'!B95*'L2'!D96</f>
        <v>42.0121566141278</v>
      </c>
      <c r="D95" s="3">
        <f>'L2'!B95*'L2'!C96-'L2'!C95*'L2'!B96</f>
        <v>116.5</v>
      </c>
      <c r="E95" s="3">
        <f t="shared" si="6"/>
        <v>138.339241686258</v>
      </c>
      <c r="F95" s="3">
        <f t="shared" si="7"/>
        <v>-21.14064338595</v>
      </c>
      <c r="G95" s="3">
        <f t="shared" si="8"/>
        <v>14.407023527672</v>
      </c>
      <c r="H95" s="3">
        <f t="shared" si="9"/>
        <v>-39.9507755907341</v>
      </c>
      <c r="I95">
        <f t="shared" si="10"/>
        <v>25.9783642036005</v>
      </c>
      <c r="J95">
        <f t="shared" si="11"/>
        <v>-39.6948131788662</v>
      </c>
    </row>
    <row r="96" spans="1:10">
      <c r="A96">
        <v>3590</v>
      </c>
      <c r="B96" s="3">
        <f>'L2'!C96*'L2'!D97-'L2'!D96*'L2'!C97</f>
        <v>-50.6712691156758</v>
      </c>
      <c r="C96" s="3">
        <f>'L2'!D96*'L2'!B97-'L2'!B96*'L2'!D97</f>
        <v>-61.1127843171155</v>
      </c>
      <c r="D96" s="3">
        <f>'L2'!B96*'L2'!C97-'L2'!C96*'L2'!B97</f>
        <v>26.25</v>
      </c>
      <c r="E96" s="3">
        <f t="shared" si="6"/>
        <v>83.6146663019324</v>
      </c>
      <c r="F96" s="3">
        <f t="shared" si="7"/>
        <v>-28.7490833027711</v>
      </c>
      <c r="G96" s="3">
        <f t="shared" si="8"/>
        <v>-34.6732291860735</v>
      </c>
      <c r="H96" s="3">
        <f t="shared" si="9"/>
        <v>-14.8933202161356</v>
      </c>
      <c r="I96">
        <f t="shared" si="10"/>
        <v>37.9830737374239</v>
      </c>
      <c r="J96">
        <f t="shared" si="11"/>
        <v>-28.4225211664521</v>
      </c>
    </row>
    <row r="97" spans="1:10">
      <c r="A97">
        <v>3610</v>
      </c>
      <c r="B97" s="3">
        <f>'L2'!C97*'L2'!D98-'L2'!D97*'L2'!C98</f>
        <v>-19.722353753696</v>
      </c>
      <c r="C97" s="3">
        <f>'L2'!D97*'L2'!B98-'L2'!B97*'L2'!D98</f>
        <v>175.113980035201</v>
      </c>
      <c r="D97" s="3">
        <f>'L2'!B97*'L2'!C98-'L2'!C97*'L2'!B98</f>
        <v>140</v>
      </c>
      <c r="E97" s="3">
        <f t="shared" si="6"/>
        <v>225.064162498952</v>
      </c>
      <c r="F97" s="3">
        <f t="shared" si="7"/>
        <v>-4.1571632359714</v>
      </c>
      <c r="G97" s="3">
        <f t="shared" si="8"/>
        <v>36.911283967338</v>
      </c>
      <c r="H97" s="3">
        <f t="shared" si="9"/>
        <v>-29.5098070090609</v>
      </c>
      <c r="I97">
        <f t="shared" si="10"/>
        <v>45.4110606958756</v>
      </c>
      <c r="J97">
        <f t="shared" si="11"/>
        <v>-13.7254933053608</v>
      </c>
    </row>
    <row r="98" spans="1:10">
      <c r="A98">
        <v>3630</v>
      </c>
      <c r="B98" s="3">
        <f>'L2'!C98*'L2'!D99-'L2'!D98*'L2'!C99</f>
        <v>-65.246864560775</v>
      </c>
      <c r="C98" s="3">
        <f>'L2'!D98*'L2'!B99-'L2'!B98*'L2'!D99</f>
        <v>-43.1072498012001</v>
      </c>
      <c r="D98" s="3">
        <f>'L2'!B98*'L2'!C99-'L2'!C98*'L2'!B99</f>
        <v>76</v>
      </c>
      <c r="E98" s="3">
        <f t="shared" si="6"/>
        <v>109.047642434099</v>
      </c>
      <c r="F98" s="3">
        <f t="shared" si="7"/>
        <v>-28.3849442837221</v>
      </c>
      <c r="G98" s="3">
        <f t="shared" si="8"/>
        <v>-18.7533438130475</v>
      </c>
      <c r="H98" s="3">
        <f t="shared" si="9"/>
        <v>-33.0629798088379</v>
      </c>
      <c r="I98">
        <f t="shared" si="10"/>
        <v>47.3672991566896</v>
      </c>
      <c r="J98">
        <f t="shared" si="11"/>
        <v>2.62537056444861</v>
      </c>
    </row>
    <row r="99" spans="1:10">
      <c r="A99">
        <v>3650</v>
      </c>
      <c r="B99" s="3">
        <f>'L2'!C99*'L2'!D100-'L2'!D99*'L2'!C100</f>
        <v>-127.54477880689</v>
      </c>
      <c r="C99" s="3">
        <f>'L2'!D99*'L2'!B100-'L2'!B99*'L2'!D100</f>
        <v>83.615922257852</v>
      </c>
      <c r="D99" s="3">
        <f>'L2'!B99*'L2'!C100-'L2'!C99*'L2'!B100</f>
        <v>235</v>
      </c>
      <c r="E99" s="3">
        <f t="shared" si="6"/>
        <v>280.150482876488</v>
      </c>
      <c r="F99" s="3">
        <f t="shared" si="7"/>
        <v>-21.598121996693</v>
      </c>
      <c r="G99" s="3">
        <f t="shared" si="8"/>
        <v>14.1593164901356</v>
      </c>
      <c r="H99" s="3">
        <f t="shared" si="9"/>
        <v>-39.7943272684455</v>
      </c>
      <c r="I99">
        <f t="shared" si="10"/>
        <v>43.6160746332422</v>
      </c>
      <c r="J99">
        <f t="shared" si="11"/>
        <v>18.6598937185463</v>
      </c>
    </row>
    <row r="100" spans="1:10">
      <c r="A100">
        <v>3670</v>
      </c>
      <c r="B100" s="3">
        <f>'L2'!C100*'L2'!D101-'L2'!D100*'L2'!C101</f>
        <v>-52.7133259717374</v>
      </c>
      <c r="C100" s="3">
        <f>'L2'!D100*'L2'!B101-'L2'!B100*'L2'!D101</f>
        <v>-21.1020814738008</v>
      </c>
      <c r="D100" s="3">
        <f>'L2'!B100*'L2'!C101-'L2'!C100*'L2'!B101</f>
        <v>80</v>
      </c>
      <c r="E100" s="3">
        <f t="shared" si="6"/>
        <v>98.1019499170611</v>
      </c>
      <c r="F100" s="3">
        <f t="shared" si="7"/>
        <v>-25.4910344413482</v>
      </c>
      <c r="G100" s="3">
        <f t="shared" si="8"/>
        <v>-10.2045142422089</v>
      </c>
      <c r="H100" s="3">
        <f t="shared" si="9"/>
        <v>-38.6862850657769</v>
      </c>
      <c r="I100">
        <f t="shared" si="10"/>
        <v>34.6093861943931</v>
      </c>
      <c r="J100">
        <f t="shared" si="11"/>
        <v>32.4460165081532</v>
      </c>
    </row>
    <row r="101" spans="1:10">
      <c r="A101">
        <v>3690</v>
      </c>
      <c r="B101" s="3">
        <f>'L2'!C101*'L2'!D102-'L2'!D101*'L2'!C102</f>
        <v>-88.7883788078553</v>
      </c>
      <c r="C101" s="3">
        <f>'L2'!D101*'L2'!B102-'L2'!B101*'L2'!D102</f>
        <v>116.160302183722</v>
      </c>
      <c r="D101" s="3">
        <f>'L2'!B101*'L2'!C102-'L2'!C101*'L2'!B102</f>
        <v>168.25</v>
      </c>
      <c r="E101" s="3">
        <f t="shared" si="6"/>
        <v>222.900548484612</v>
      </c>
      <c r="F101" s="3">
        <f t="shared" si="7"/>
        <v>-18.8968610408576</v>
      </c>
      <c r="G101" s="3">
        <f t="shared" si="8"/>
        <v>24.7224368583202</v>
      </c>
      <c r="H101" s="3">
        <f t="shared" si="9"/>
        <v>-35.8087050671884</v>
      </c>
      <c r="I101">
        <f t="shared" si="10"/>
        <v>21.4324834066306</v>
      </c>
      <c r="J101">
        <f t="shared" si="11"/>
        <v>42.3225974512967</v>
      </c>
    </row>
    <row r="102" spans="1:10">
      <c r="A102">
        <v>3710</v>
      </c>
      <c r="B102" s="3">
        <f>'L2'!C102*'L2'!D103-'L2'!D102*'L2'!C103</f>
        <v>-109.072269376542</v>
      </c>
      <c r="C102" s="3">
        <f>'L2'!D102*'L2'!B103-'L2'!B102*'L2'!D103</f>
        <v>-219.491396066753</v>
      </c>
      <c r="D102" s="3">
        <f>'L2'!B102*'L2'!C103-'L2'!C102*'L2'!B103</f>
        <v>183</v>
      </c>
      <c r="E102" s="3">
        <f t="shared" si="6"/>
        <v>305.879441764695</v>
      </c>
      <c r="F102" s="3">
        <f t="shared" si="7"/>
        <v>-16.9164309617241</v>
      </c>
      <c r="G102" s="3">
        <f t="shared" si="8"/>
        <v>-34.0417511204201</v>
      </c>
      <c r="H102" s="3">
        <f t="shared" si="9"/>
        <v>-28.3821624294662</v>
      </c>
      <c r="I102">
        <f t="shared" si="10"/>
        <v>5.67310055599824</v>
      </c>
      <c r="J102">
        <f t="shared" si="11"/>
        <v>47.0995703810718</v>
      </c>
    </row>
    <row r="103" spans="1:10">
      <c r="A103">
        <v>3730</v>
      </c>
      <c r="B103" s="3">
        <f>'L2'!C103*'L2'!D104-'L2'!D103*'L2'!C104</f>
        <v>-64.2086305827424</v>
      </c>
      <c r="C103" s="3">
        <f>'L2'!D103*'L2'!B104-'L2'!B103*'L2'!D104</f>
        <v>190.477090180843</v>
      </c>
      <c r="D103" s="3">
        <f>'L2'!B103*'L2'!C104-'L2'!C103*'L2'!B104</f>
        <v>72</v>
      </c>
      <c r="E103" s="3">
        <f t="shared" si="6"/>
        <v>213.514098188087</v>
      </c>
      <c r="F103" s="3">
        <f t="shared" si="7"/>
        <v>-14.2663058818814</v>
      </c>
      <c r="G103" s="3">
        <f t="shared" si="8"/>
        <v>42.3214824447754</v>
      </c>
      <c r="H103" s="3">
        <f t="shared" si="9"/>
        <v>-15.9974448010037</v>
      </c>
      <c r="I103">
        <f t="shared" si="10"/>
        <v>-10.7698553926539</v>
      </c>
      <c r="J103">
        <f t="shared" si="11"/>
        <v>46.2013399678118</v>
      </c>
    </row>
    <row r="104" spans="1:10">
      <c r="A104">
        <v>3750</v>
      </c>
      <c r="B104" s="3">
        <f>'L2'!C104*'L2'!D105-'L2'!D104*'L2'!C105</f>
        <v>-66.3835693910922</v>
      </c>
      <c r="C104" s="3">
        <f>'L2'!D104*'L2'!B105-'L2'!B104*'L2'!D105</f>
        <v>77.6318237324496</v>
      </c>
      <c r="D104" s="3">
        <f>'L2'!B104*'L2'!C105-'L2'!C104*'L2'!B105</f>
        <v>100</v>
      </c>
      <c r="E104" s="3">
        <f t="shared" si="6"/>
        <v>142.945718162973</v>
      </c>
      <c r="F104" s="3">
        <f t="shared" si="7"/>
        <v>-22.0309959079919</v>
      </c>
      <c r="G104" s="3">
        <f t="shared" si="8"/>
        <v>25.7640016447962</v>
      </c>
      <c r="H104" s="3">
        <f t="shared" si="9"/>
        <v>-33.1874228970703</v>
      </c>
      <c r="I104">
        <f t="shared" si="10"/>
        <v>-25.9151111959776</v>
      </c>
      <c r="J104">
        <f t="shared" si="11"/>
        <v>39.7361373525424</v>
      </c>
    </row>
    <row r="105" spans="1:10">
      <c r="A105">
        <v>3770</v>
      </c>
      <c r="B105" s="3">
        <f>'L2'!C105*'L2'!D106-'L2'!D105*'L2'!C106</f>
        <v>-79.111021307933</v>
      </c>
      <c r="C105" s="3">
        <f>'L2'!D105*'L2'!B106-'L2'!B105*'L2'!D106</f>
        <v>-75.7289258566045</v>
      </c>
      <c r="D105" s="3">
        <f>'L2'!B105*'L2'!C106-'L2'!C105*'L2'!B106</f>
        <v>177.25</v>
      </c>
      <c r="E105" s="3">
        <f t="shared" si="6"/>
        <v>208.353033104343</v>
      </c>
      <c r="F105" s="3">
        <f t="shared" si="7"/>
        <v>-18.0128256110811</v>
      </c>
      <c r="G105" s="3">
        <f t="shared" si="8"/>
        <v>-17.2427547087263</v>
      </c>
      <c r="H105" s="3">
        <f t="shared" si="9"/>
        <v>-40.3581357790406</v>
      </c>
      <c r="I105">
        <f t="shared" si="10"/>
        <v>-37.9377583533079</v>
      </c>
      <c r="J105">
        <f t="shared" si="11"/>
        <v>28.4829789721162</v>
      </c>
    </row>
    <row r="106" spans="1:10">
      <c r="A106">
        <v>3790</v>
      </c>
      <c r="B106" s="3">
        <f>'L2'!C106*'L2'!D107-'L2'!D106*'L2'!C107</f>
        <v>-124.601065193261</v>
      </c>
      <c r="C106" s="3">
        <f>'L2'!D106*'L2'!B107-'L2'!B106*'L2'!D107</f>
        <v>65.670061768242</v>
      </c>
      <c r="D106" s="3">
        <f>'L2'!B106*'L2'!C107-'L2'!C106*'L2'!B107</f>
        <v>185.75</v>
      </c>
      <c r="E106" s="3">
        <f t="shared" si="6"/>
        <v>233.111657709219</v>
      </c>
      <c r="F106" s="3">
        <f t="shared" si="7"/>
        <v>-25.3572669460475</v>
      </c>
      <c r="G106" s="3">
        <f t="shared" si="8"/>
        <v>13.3643583547053</v>
      </c>
      <c r="H106" s="3">
        <f t="shared" si="9"/>
        <v>-37.8015414870069</v>
      </c>
      <c r="I106">
        <f t="shared" si="10"/>
        <v>-45.3891431553349</v>
      </c>
      <c r="J106">
        <f t="shared" si="11"/>
        <v>13.7977999559537</v>
      </c>
    </row>
    <row r="107" spans="1:10">
      <c r="A107">
        <v>3810</v>
      </c>
      <c r="B107" s="3">
        <f>'L2'!C107*'L2'!D108-'L2'!D107*'L2'!C108</f>
        <v>-23.6454934513584</v>
      </c>
      <c r="C107" s="3">
        <f>'L2'!D107*'L2'!B108-'L2'!B107*'L2'!D108</f>
        <v>-75.7823791404517</v>
      </c>
      <c r="D107" s="3">
        <f>'L2'!B107*'L2'!C108-'L2'!C107*'L2'!B108</f>
        <v>103</v>
      </c>
      <c r="E107" s="3">
        <f t="shared" si="6"/>
        <v>130.042602053117</v>
      </c>
      <c r="F107" s="3">
        <f t="shared" si="7"/>
        <v>-8.62595942885129</v>
      </c>
      <c r="G107" s="3">
        <f t="shared" si="8"/>
        <v>-27.6456792594366</v>
      </c>
      <c r="H107" s="3">
        <f t="shared" si="9"/>
        <v>-37.5747633687315</v>
      </c>
      <c r="I107">
        <f t="shared" si="10"/>
        <v>-47.3714203861349</v>
      </c>
      <c r="J107">
        <f t="shared" si="11"/>
        <v>-2.5499275676151</v>
      </c>
    </row>
    <row r="108" spans="1:10">
      <c r="A108">
        <v>3830</v>
      </c>
      <c r="B108" s="3">
        <f>'L2'!C108*'L2'!D109-'L2'!D108*'L2'!C109</f>
        <v>-68.058134084548</v>
      </c>
      <c r="C108" s="3">
        <f>'L2'!D108*'L2'!B109-'L2'!B108*'L2'!D109</f>
        <v>-28.3973545652232</v>
      </c>
      <c r="D108" s="3">
        <f>'L2'!B108*'L2'!C109-'L2'!C108*'L2'!B109</f>
        <v>141</v>
      </c>
      <c r="E108" s="3">
        <f t="shared" si="6"/>
        <v>159.120455508942</v>
      </c>
      <c r="F108" s="3">
        <f t="shared" si="7"/>
        <v>-20.2907782701106</v>
      </c>
      <c r="G108" s="3">
        <f t="shared" si="8"/>
        <v>-8.46635648613058</v>
      </c>
      <c r="H108" s="3">
        <f t="shared" si="9"/>
        <v>-42.0375870506736</v>
      </c>
      <c r="I108">
        <f t="shared" si="10"/>
        <v>-43.6457380503281</v>
      </c>
      <c r="J108">
        <f t="shared" si="11"/>
        <v>-18.5904047842467</v>
      </c>
    </row>
    <row r="109" spans="1:10">
      <c r="A109">
        <v>3850</v>
      </c>
      <c r="B109" s="3">
        <f>'L2'!C109*'L2'!D110-'L2'!D109*'L2'!C110</f>
        <v>-120.51306733862</v>
      </c>
      <c r="C109" s="3">
        <f>'L2'!D109*'L2'!B110-'L2'!B109*'L2'!D110</f>
        <v>54.7116288381619</v>
      </c>
      <c r="D109" s="3">
        <f>'L2'!B109*'L2'!C110-'L2'!C109*'L2'!B110</f>
        <v>148.75</v>
      </c>
      <c r="E109" s="3">
        <f t="shared" si="6"/>
        <v>199.106313886545</v>
      </c>
      <c r="F109" s="3">
        <f t="shared" si="7"/>
        <v>-28.7140061153553</v>
      </c>
      <c r="G109" s="3">
        <f t="shared" si="8"/>
        <v>13.0358481427233</v>
      </c>
      <c r="H109" s="3">
        <f t="shared" si="9"/>
        <v>-35.4418695331834</v>
      </c>
      <c r="I109">
        <f t="shared" si="10"/>
        <v>-34.6610175430818</v>
      </c>
      <c r="J109">
        <f t="shared" si="11"/>
        <v>-32.3908546179038</v>
      </c>
    </row>
    <row r="110" spans="1:10">
      <c r="A110">
        <v>3870</v>
      </c>
      <c r="B110" s="3">
        <f>'L2'!C110*'L2'!D111-'L2'!D110*'L2'!C111</f>
        <v>30.4177603852263</v>
      </c>
      <c r="C110" s="3">
        <f>'L2'!D110*'L2'!B111-'L2'!B110*'L2'!D111</f>
        <v>-194.616363901527</v>
      </c>
      <c r="D110" s="3">
        <f>'L2'!B110*'L2'!C111-'L2'!C110*'L2'!B111</f>
        <v>186.75</v>
      </c>
      <c r="E110" s="3">
        <f t="shared" si="6"/>
        <v>271.433844140897</v>
      </c>
      <c r="F110" s="3">
        <f t="shared" si="7"/>
        <v>5.31628086852017</v>
      </c>
      <c r="G110" s="3">
        <f t="shared" si="8"/>
        <v>-34.0141824712763</v>
      </c>
      <c r="H110" s="3">
        <f t="shared" si="9"/>
        <v>-32.6393343764502</v>
      </c>
      <c r="I110">
        <f t="shared" si="10"/>
        <v>-21.4998614326665</v>
      </c>
      <c r="J110">
        <f t="shared" si="11"/>
        <v>-42.2884092675066</v>
      </c>
    </row>
    <row r="111" spans="1:10">
      <c r="A111">
        <v>3890</v>
      </c>
      <c r="B111" s="3">
        <f>'L2'!C111*'L2'!D112-'L2'!D111*'L2'!C112</f>
        <v>-19.3728050002711</v>
      </c>
      <c r="C111" s="3">
        <f>'L2'!D111*'L2'!B112-'L2'!B111*'L2'!D112</f>
        <v>-125.024071425122</v>
      </c>
      <c r="D111" s="3">
        <f>'L2'!B111*'L2'!C112-'L2'!C111*'L2'!B112</f>
        <v>173.25</v>
      </c>
      <c r="E111" s="3">
        <f t="shared" si="6"/>
        <v>214.527123015465</v>
      </c>
      <c r="F111" s="3">
        <f t="shared" si="7"/>
        <v>-4.28405441836186</v>
      </c>
      <c r="G111" s="3">
        <f t="shared" si="8"/>
        <v>-27.6475154518351</v>
      </c>
      <c r="H111" s="3">
        <f t="shared" si="9"/>
        <v>-38.3120786055919</v>
      </c>
      <c r="I111">
        <f t="shared" si="10"/>
        <v>-5.74810662909371</v>
      </c>
      <c r="J111">
        <f t="shared" si="11"/>
        <v>-47.0904753658377</v>
      </c>
    </row>
    <row r="112" spans="1:10">
      <c r="A112">
        <v>3910</v>
      </c>
      <c r="B112" s="3">
        <f>-('L2'!C112*'L2'!D2-'L2'!D112*'L2'!C2)</f>
        <v>-1070.03534579104</v>
      </c>
      <c r="C112" s="3">
        <f>-('L2'!D112*'L2'!B2-'L2'!B112*'L2'!D2)</f>
        <v>1758.55379424434</v>
      </c>
      <c r="D112" s="3">
        <f>-('L2'!B112*'L2'!C2-'L2'!C112*'L2'!B2)</f>
        <v>-897.5</v>
      </c>
      <c r="E112" s="3">
        <f t="shared" si="6"/>
        <v>2245.6610025766</v>
      </c>
      <c r="F112" s="3">
        <f t="shared" si="7"/>
        <v>-22.6046926700352</v>
      </c>
      <c r="G112" s="3">
        <f t="shared" si="8"/>
        <v>37.1497710042752</v>
      </c>
      <c r="H112" s="3">
        <f t="shared" si="9"/>
        <v>18.9598518882182</v>
      </c>
      <c r="I112">
        <f t="shared" si="10"/>
        <v>10.6962590346976</v>
      </c>
      <c r="J112">
        <f t="shared" si="11"/>
        <v>-46.2184340135259</v>
      </c>
    </row>
    <row r="113" spans="1:10">
      <c r="A113">
        <v>3930</v>
      </c>
      <c r="B113" s="3"/>
      <c r="C113" s="3"/>
      <c r="D113" s="3"/>
      <c r="E113" s="3"/>
      <c r="F113" s="3"/>
      <c r="G113" s="3"/>
      <c r="H113" s="3"/>
      <c r="I113">
        <f t="shared" si="10"/>
        <v>25.8517924535113</v>
      </c>
      <c r="J113">
        <f t="shared" si="11"/>
        <v>-39.7773607337211</v>
      </c>
    </row>
    <row r="114" spans="1:10">
      <c r="A114" t="s">
        <v>27</v>
      </c>
    </row>
    <row r="115" spans="1:10">
      <c r="A115">
        <f>SQRT(F112*F112+G112*G112)/47.44</f>
        <v>0.916663622222569</v>
      </c>
      <c r="B115" s="3">
        <f>SQRT(F112*F112+G112*G112)</f>
        <v>43.4865222382387</v>
      </c>
      <c r="C115" s="3">
        <f>G112/B115</f>
        <v>0.854282409633773</v>
      </c>
      <c r="D115" s="3">
        <f>F112/B115</f>
        <v>-0.519809161702942</v>
      </c>
    </row>
  </sheetData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L0</vt:lpstr>
      <vt:lpstr>L1</vt:lpstr>
      <vt:lpstr>L2</vt:lpstr>
      <vt:lpstr>L3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ZHAOHAIWU</dc:creator>
  <cp:lastModifiedBy>清晨的朝阳</cp:lastModifiedBy>
  <dcterms:created xsi:type="dcterms:W3CDTF">2023-05-12T11:15:00Z</dcterms:created>
  <dcterms:modified xsi:type="dcterms:W3CDTF">2026-10-14T13:00:45Z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B1ED701D216345B2BD69DACDA9D0BA55_12</vt:lpwstr>
  </property>
  <property fmtid="{D5CDD505-2E9C-101B-9397-08002B2CF9AE}" pid="4" name="CalculationRule">
    <vt:i4>0</vt:i4>
  </property>
</Properties>
</file>